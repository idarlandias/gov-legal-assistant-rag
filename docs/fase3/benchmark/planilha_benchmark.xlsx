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IA-ME" sheetId="1" state="visible" r:id="rId1"/>
    <sheet xmlns:r="http://schemas.openxmlformats.org/officeDocument/2006/relationships" name="Perguntas" sheetId="2" state="visible" r:id="rId2"/>
    <sheet xmlns:r="http://schemas.openxmlformats.org/officeDocument/2006/relationships" name="Respostas" sheetId="3" state="visible" r:id="rId3"/>
    <sheet xmlns:r="http://schemas.openxmlformats.org/officeDocument/2006/relationships" name="Parametros" sheetId="4" state="visible" r:id="rId4"/>
    <sheet xmlns:r="http://schemas.openxmlformats.org/officeDocument/2006/relationships" name="Resumo" sheetId="5" state="visible" r:id="rId5"/>
  </sheets>
  <definedNames>
    <definedName name="_xlnm._FilterDatabase" localSheetId="2" hidden="1">'Respostas'!$A$1:$W$126</definedName>
  </definedNames>
  <calcPr calcId="124519" fullCalcOnLoad="1"/>
</workbook>
</file>

<file path=xl/styles.xml><?xml version="1.0" encoding="utf-8"?>
<styleSheet xmlns="http://schemas.openxmlformats.org/spreadsheetml/2006/main">
  <numFmts count="2">
    <numFmt numFmtId="164" formatCode="0.0000"/>
    <numFmt numFmtId="165" formatCode="0.0"/>
  </numFmts>
  <fonts count="6">
    <font>
      <name val="Calibri"/>
      <family val="2"/>
      <color theme="1"/>
      <sz val="11"/>
      <scheme val="minor"/>
    </font>
    <font>
      <name val="Arial"/>
      <b val="1"/>
      <sz val="14"/>
    </font>
    <font>
      <name val="Arial"/>
      <sz val="10"/>
    </font>
    <font>
      <name val="Arial"/>
      <b val="1"/>
      <sz val="10"/>
    </font>
    <font>
      <name val="Arial"/>
      <color rgb="000000FF"/>
      <sz val="10"/>
    </font>
    <font>
      <name val="Arial"/>
      <b val="1"/>
      <color rgb="00FFFFFF"/>
      <sz val="10"/>
    </font>
  </fonts>
  <fills count="5">
    <fill>
      <patternFill/>
    </fill>
    <fill>
      <patternFill patternType="gray125"/>
    </fill>
    <fill>
      <patternFill patternType="solid">
        <fgColor rgb="00FFF2CC"/>
      </patternFill>
    </fill>
    <fill>
      <patternFill patternType="solid">
        <fgColor rgb="00F2F2F2"/>
      </patternFill>
    </fill>
    <fill>
      <patternFill patternType="solid">
        <fgColor rgb="001F3864"/>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2" fillId="3" borderId="0" pivotButton="0" quotePrefix="0" xfId="0"/>
    <xf numFmtId="0" fontId="5" fillId="4" borderId="1" applyAlignment="1" pivotButton="0" quotePrefix="0" xfId="0">
      <alignment horizontal="center" vertical="center" wrapText="1"/>
    </xf>
    <xf numFmtId="0" fontId="2" fillId="0" borderId="1" applyAlignment="1" pivotButton="0" quotePrefix="0" xfId="0">
      <alignment vertical="top" wrapText="1"/>
    </xf>
    <xf numFmtId="0" fontId="4" fillId="2" borderId="1" applyAlignment="1" pivotButton="0" quotePrefix="0" xfId="0">
      <alignment vertical="top" wrapText="1"/>
    </xf>
    <xf numFmtId="0" fontId="2" fillId="3" borderId="1" applyAlignment="1" pivotButton="0" quotePrefix="0" xfId="0">
      <alignment vertical="top" wrapText="1"/>
    </xf>
    <xf numFmtId="164" fontId="2" fillId="3" borderId="1" applyAlignment="1" pivotButton="0" quotePrefix="0" xfId="0">
      <alignment vertical="top" wrapText="1"/>
    </xf>
    <xf numFmtId="9" fontId="2" fillId="3" borderId="1" applyAlignment="1" pivotButton="0" quotePrefix="0" xfId="0">
      <alignment vertical="top" wrapText="1"/>
    </xf>
    <xf numFmtId="2" fontId="2" fillId="3" borderId="1" applyAlignment="1" pivotButton="0" quotePrefix="0" xfId="0">
      <alignment vertical="top" wrapText="1"/>
    </xf>
    <xf numFmtId="0" fontId="0" fillId="0" borderId="4" pivotButton="0" quotePrefix="0" xfId="0"/>
    <xf numFmtId="0" fontId="0" fillId="0" borderId="5" pivotButton="0" quotePrefix="0" xfId="0"/>
    <xf numFmtId="165" fontId="2" fillId="3" borderId="1" applyAlignment="1" pivotButton="0" quotePrefix="0" xfId="0">
      <alignment vertical="top" wrapText="1"/>
    </xf>
  </cellXfs>
  <cellStyles count="1">
    <cellStyle name="Normal" xfId="0" builtinId="0" hidden="0"/>
  </cellStyles>
  <dxfs count="2">
    <dxf>
      <fill>
        <patternFill patternType="solid">
          <fgColor rgb="00C6EFCE"/>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32"/>
  <sheetViews>
    <sheetView workbookViewId="0">
      <selection activeCell="A1" sqref="A1"/>
    </sheetView>
  </sheetViews>
  <sheetFormatPr baseColWidth="8" defaultRowHeight="15"/>
  <cols>
    <col width="24" customWidth="1" min="1" max="1"/>
    <col width="30" customWidth="1" min="2" max="2"/>
    <col width="30" customWidth="1" min="3" max="3"/>
    <col width="30" customWidth="1" min="4" max="4"/>
    <col width="30" customWidth="1" min="5" max="5"/>
  </cols>
  <sheetData>
    <row r="1">
      <c r="A1" s="1" t="inlineStr">
        <is>
          <t>Benchmark Fase 3: RAG jurídico × concorrentes</t>
        </is>
      </c>
    </row>
    <row r="3">
      <c r="A3" s="2" t="inlineStr">
        <is>
          <t>Objetivo: medir se Jus IA, Jurídico AI, LLM genérico já respondem bem às 25 perguntas de balcão (Registro de Imóveis × LAI × LGPD). O resultado alimenta o Gate 1.</t>
        </is>
      </c>
    </row>
    <row r="4">
      <c r="A4" s="2" t="inlineStr">
        <is>
          <t>1. Aba Perguntas: o oficial/DPO preenche o gabarito (colunas amarelas) ANTES de avaliar.</t>
        </is>
      </c>
    </row>
    <row r="5">
      <c r="A5" s="2" t="inlineStr">
        <is>
          <t>2. Aba Respostas: uma linha por pergunta × ferramenta. Cole a resposta integral, sem editar.</t>
        </is>
      </c>
    </row>
    <row r="6">
      <c r="A6" s="2" t="inlineStr">
        <is>
          <t>3. Mesma redação, sessão nova, sem contexto extra em cada ferramenta.</t>
        </is>
      </c>
    </row>
    <row r="7">
      <c r="A7" s="2" t="inlineStr">
        <is>
          <t>4. As linhas 'RAG atual' e 'RAG Fase 3' são preenchidas pelo script run_rag_benchmark.py (--xlsx).</t>
        </is>
      </c>
    </row>
    <row r="8">
      <c r="A8" s="2" t="inlineStr">
        <is>
          <t>5. Dê a nota de 0 a 2 em cada critério comparando com o gabarito. A Nota (0-10) só aparece com os 5 critérios preenchidos.</t>
        </is>
      </c>
    </row>
    <row r="9">
      <c r="A9" s="2" t="inlineStr">
        <is>
          <t>6. Aba Parametros: preencha a assinatura mensal dos concorrentes e confira preço/câmbio.</t>
        </is>
      </c>
    </row>
    <row r="10">
      <c r="A10" s="2" t="inlineStr">
        <is>
          <t>7. A aba Resumo e o sinal do Gate 1 são calculados sozinhos.</t>
        </is>
      </c>
    </row>
    <row r="12">
      <c r="A12" s="3" t="inlineStr">
        <is>
          <t>Legenda</t>
        </is>
      </c>
    </row>
    <row r="13">
      <c r="A13" s="4" t="inlineStr">
        <is>
          <t>Preencher</t>
        </is>
      </c>
      <c r="B13" s="2" t="inlineStr">
        <is>
          <t>Célula de entrada (texto azul, fundo amarelo)</t>
        </is>
      </c>
    </row>
    <row r="14">
      <c r="A14" s="5" t="inlineStr">
        <is>
          <t>Fórmula</t>
        </is>
      </c>
      <c r="B14" s="2" t="inlineStr">
        <is>
          <t>Calculado; não editar</t>
        </is>
      </c>
    </row>
    <row r="16">
      <c r="A16" s="3" t="inlineStr">
        <is>
          <t>Rubrica (0 a 2 por critério)</t>
        </is>
      </c>
    </row>
    <row r="17">
      <c r="A17" s="6" t="inlineStr">
        <is>
          <t>Critério</t>
        </is>
      </c>
      <c r="B17" s="6" t="inlineStr">
        <is>
          <t>0</t>
        </is>
      </c>
      <c r="C17" s="6" t="inlineStr">
        <is>
          <t>1</t>
        </is>
      </c>
      <c r="D17" s="6" t="inlineStr">
        <is>
          <t>2</t>
        </is>
      </c>
    </row>
    <row r="18">
      <c r="A18" s="7" t="inlineStr">
        <is>
          <t>Veredito</t>
        </is>
      </c>
      <c r="B18" s="7" t="inlineStr">
        <is>
          <t>errado</t>
        </is>
      </c>
      <c r="C18" s="7" t="inlineStr">
        <is>
          <t>ambíguo</t>
        </is>
      </c>
      <c r="D18" s="7" t="inlineStr">
        <is>
          <t>correto</t>
        </is>
      </c>
    </row>
    <row r="19">
      <c r="A19" s="7" t="inlineStr">
        <is>
          <t>Fundamentação</t>
        </is>
      </c>
      <c r="B19" s="7" t="inlineStr">
        <is>
          <t>sem citação</t>
        </is>
      </c>
      <c r="C19" s="7" t="inlineStr">
        <is>
          <t>lei genérica</t>
        </is>
      </c>
      <c r="D19" s="7" t="inlineStr">
        <is>
          <t>dispositivo específico correto</t>
        </is>
      </c>
    </row>
    <row r="20">
      <c r="A20" s="7" t="inlineStr">
        <is>
          <t>Norma CE</t>
        </is>
      </c>
      <c r="B20" s="7" t="inlineStr">
        <is>
          <t>ignora</t>
        </is>
      </c>
      <c r="C20" s="7" t="inlineStr">
        <is>
          <t>menciona</t>
        </is>
      </c>
      <c r="D20" s="7" t="inlineStr">
        <is>
          <t>aplica corretamente</t>
        </is>
      </c>
    </row>
    <row r="21">
      <c r="A21" s="7" t="inlineStr">
        <is>
          <t>Acionável</t>
        </is>
      </c>
      <c r="B21" s="7" t="inlineStr">
        <is>
          <t>só teoria</t>
        </is>
      </c>
      <c r="C21" s="7" t="inlineStr">
        <is>
          <t>orientação</t>
        </is>
      </c>
      <c r="D21" s="7" t="inlineStr">
        <is>
          <t>ato/minuta utilizável</t>
        </is>
      </c>
    </row>
    <row r="22">
      <c r="A22" s="7" t="inlineStr">
        <is>
          <t>Sem alucinação</t>
        </is>
      </c>
      <c r="B22" s="7" t="inlineStr">
        <is>
          <t>inventa norma</t>
        </is>
      </c>
      <c r="C22" s="7" t="inlineStr">
        <is>
          <t>impreciso</t>
        </is>
      </c>
      <c r="D22" s="7" t="inlineStr">
        <is>
          <t>nenhuma</t>
        </is>
      </c>
    </row>
    <row r="24">
      <c r="A24" s="3" t="inlineStr">
        <is>
          <t>Exemplo de linha preenchida (formato esperado)</t>
        </is>
      </c>
    </row>
    <row r="25">
      <c r="A25" s="3" t="inlineStr">
        <is>
          <t>ID / Ferramenta</t>
        </is>
      </c>
      <c r="B25" s="2" t="inlineStr">
        <is>
          <t>6 / Jus IA</t>
        </is>
      </c>
    </row>
    <row r="26">
      <c r="A26" s="3" t="inlineStr">
        <is>
          <t>Data da coleta</t>
        </is>
      </c>
      <c r="B26" s="2" t="inlineStr">
        <is>
          <t>2026-09-25</t>
        </is>
      </c>
    </row>
    <row r="27">
      <c r="A27" s="3" t="inlineStr">
        <is>
          <t>Versão / plano</t>
        </is>
      </c>
      <c r="B27" s="2" t="inlineStr">
        <is>
          <t>Plano Profissional (set/2026)</t>
        </is>
      </c>
    </row>
    <row r="28">
      <c r="A28" s="3" t="inlineStr">
        <is>
          <t>Resposta integral</t>
        </is>
      </c>
      <c r="B28" s="2" t="inlineStr">
        <is>
          <t>Não. A informação sobre titularidade é fornecida por certidão...</t>
        </is>
      </c>
    </row>
    <row r="29">
      <c r="A29" s="3" t="inlineStr">
        <is>
          <t>Fontes citadas</t>
        </is>
      </c>
      <c r="B29" s="2" t="inlineStr">
        <is>
          <t>Lei 6.015/73, art. 16-17; LGPD art. 7º</t>
        </is>
      </c>
    </row>
    <row r="30">
      <c r="A30" s="3" t="inlineStr">
        <is>
          <t>Latência (s)</t>
        </is>
      </c>
      <c r="B30" s="2" t="inlineStr">
        <is>
          <t>9</t>
        </is>
      </c>
    </row>
    <row r="31">
      <c r="A31" s="3" t="inlineStr">
        <is>
          <t>Notas 0-2</t>
        </is>
      </c>
      <c r="B31" s="2" t="inlineStr">
        <is>
          <t>Veredito 2 · Fundamentação 1 · Norma CE 0 · Acionável 1 · Alucinação 2 → Nota 6</t>
        </is>
      </c>
    </row>
    <row r="32">
      <c r="A32" s="3" t="inlineStr">
        <is>
          <t>Observações</t>
        </is>
      </c>
      <c r="B32" s="2" t="inlineStr">
        <is>
          <t>Não citou o Código de Normas do CE nem gerou minuta.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6"/>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6" customWidth="1" min="2" max="2"/>
    <col width="70" customWidth="1" min="3" max="3"/>
    <col width="30" customWidth="1" min="4" max="4"/>
    <col width="40" customWidth="1" min="5" max="5"/>
    <col width="20" customWidth="1" min="6" max="6"/>
    <col width="14" customWidth="1" min="7" max="7"/>
  </cols>
  <sheetData>
    <row r="1">
      <c r="A1" s="6" t="inlineStr">
        <is>
          <t>ID</t>
        </is>
      </c>
      <c r="B1" s="6" t="inlineStr">
        <is>
          <t>Categoria</t>
        </is>
      </c>
      <c r="C1" s="6" t="inlineStr">
        <is>
          <t>Pergunta</t>
        </is>
      </c>
      <c r="D1" s="6" t="inlineStr">
        <is>
          <t>Veredito esperado</t>
        </is>
      </c>
      <c r="E1" s="6" t="inlineStr">
        <is>
          <t>Base legal do gabarito</t>
        </is>
      </c>
      <c r="F1" s="6" t="inlineStr">
        <is>
          <t>Validado por</t>
        </is>
      </c>
      <c r="G1" s="6" t="inlineStr">
        <is>
          <t>Data da validação</t>
        </is>
      </c>
    </row>
    <row r="2">
      <c r="A2" s="7" t="n">
        <v>1</v>
      </c>
      <c r="B2" s="7" t="inlineStr">
        <is>
          <t>Certidão</t>
        </is>
      </c>
      <c r="C2" s="7" t="inlineStr">
        <is>
          <t>Um terceiro sem vínculo pede certidão de inteiro teor de uma matrícula. Posso emitir sem exigir motivo?</t>
        </is>
      </c>
      <c r="D2" s="8" t="n"/>
      <c r="E2" s="8" t="n"/>
      <c r="F2" s="8" t="n"/>
      <c r="G2" s="8" t="n"/>
    </row>
    <row r="3">
      <c r="A3" s="7" t="n">
        <v>2</v>
      </c>
      <c r="B3" s="7" t="inlineStr">
        <is>
          <t>Certidão</t>
        </is>
      </c>
      <c r="C3" s="7" t="inlineStr">
        <is>
          <t>A certidão de inteiro teor deve exibir o CPF completo dos proprietários?</t>
        </is>
      </c>
      <c r="D3" s="8" t="n"/>
      <c r="E3" s="8" t="n"/>
      <c r="F3" s="8" t="n"/>
      <c r="G3" s="8" t="n"/>
    </row>
    <row r="4">
      <c r="A4" s="7" t="n">
        <v>3</v>
      </c>
      <c r="B4" s="7" t="inlineStr">
        <is>
          <t>Certidão</t>
        </is>
      </c>
      <c r="C4" s="7" t="inlineStr">
        <is>
          <t>Pedido de certidão da matrícula com o histórico de todos os ônus, incluindo penhoras já canceladas. Emito integralmente?</t>
        </is>
      </c>
      <c r="D4" s="8" t="n"/>
      <c r="E4" s="8" t="n"/>
      <c r="F4" s="8" t="n"/>
      <c r="G4" s="8" t="n"/>
    </row>
    <row r="5">
      <c r="A5" s="7" t="n">
        <v>4</v>
      </c>
      <c r="B5" s="7" t="inlineStr">
        <is>
          <t>Busca</t>
        </is>
      </c>
      <c r="C5" s="7" t="inlineStr">
        <is>
          <t>Alguém pede para buscar "todos os imóveis em nome de fulano" informando só o nome. Posso fazer a busca e informar?</t>
        </is>
      </c>
      <c r="D5" s="8" t="n"/>
      <c r="E5" s="8" t="n"/>
      <c r="F5" s="8" t="n"/>
      <c r="G5" s="8" t="n"/>
    </row>
    <row r="6">
      <c r="A6" s="7" t="n">
        <v>5</v>
      </c>
      <c r="B6" s="7" t="inlineStr">
        <is>
          <t>Busca</t>
        </is>
      </c>
      <c r="C6" s="7" t="inlineStr">
        <is>
          <t>Busca por CPF solicitada por um credor para localizar bens do devedor. Qual é o procedimento?</t>
        </is>
      </c>
      <c r="D6" s="8" t="n"/>
      <c r="E6" s="8" t="n"/>
      <c r="F6" s="8" t="n"/>
      <c r="G6" s="8" t="n"/>
    </row>
    <row r="7">
      <c r="A7" s="7" t="n">
        <v>6</v>
      </c>
      <c r="B7" s="7" t="inlineStr">
        <is>
          <t>Informação verbal</t>
        </is>
      </c>
      <c r="C7" s="7" t="inlineStr">
        <is>
          <t>Um requerente pede, por telefone, o nome do proprietário de um imóvel. Posso informar?</t>
        </is>
      </c>
      <c r="D7" s="8" t="n"/>
      <c r="E7" s="8" t="n"/>
      <c r="F7" s="8" t="n"/>
      <c r="G7" s="8" t="n"/>
    </row>
    <row r="8">
      <c r="A8" s="7" t="n">
        <v>7</v>
      </c>
      <c r="B8" s="7" t="inlineStr">
        <is>
          <t>Informação verbal</t>
        </is>
      </c>
      <c r="C8" s="7" t="inlineStr">
        <is>
          <t>Um vizinho pergunta se o imóvel ao lado tem hipoteca. Posso responder no balcão?</t>
        </is>
      </c>
      <c r="D8" s="8" t="n"/>
      <c r="E8" s="8" t="n"/>
      <c r="F8" s="8" t="n"/>
      <c r="G8" s="8" t="n"/>
    </row>
    <row r="9">
      <c r="A9" s="7" t="n">
        <v>8</v>
      </c>
      <c r="B9" s="7" t="inlineStr">
        <is>
          <t>Poder público</t>
        </is>
      </c>
      <c r="C9" s="7" t="inlineStr">
        <is>
          <t>Uma prefeitura solicita lista de imóveis com proprietários e CPFs para cobrança de IPTU. Forneço? Em que formato?</t>
        </is>
      </c>
      <c r="D9" s="8" t="n"/>
      <c r="E9" s="8" t="n"/>
      <c r="F9" s="8" t="n"/>
      <c r="G9" s="8" t="n"/>
    </row>
    <row r="10">
      <c r="A10" s="7" t="n">
        <v>9</v>
      </c>
      <c r="B10" s="7" t="inlineStr">
        <is>
          <t>Poder público</t>
        </is>
      </c>
      <c r="C10" s="7" t="inlineStr">
        <is>
          <t>A polícia pede por ofício dados de um proprietário sem ordem judicial. Como proceder?</t>
        </is>
      </c>
      <c r="D10" s="8" t="n"/>
      <c r="E10" s="8" t="n"/>
      <c r="F10" s="8" t="n"/>
      <c r="G10" s="8" t="n"/>
    </row>
    <row r="11">
      <c r="A11" s="7" t="n">
        <v>10</v>
      </c>
      <c r="B11" s="7" t="inlineStr">
        <is>
          <t>Poder público</t>
        </is>
      </c>
      <c r="C11" s="7" t="inlineStr">
        <is>
          <t>O Ministério Público requisita certidões em massa. Há limite ou exigência de fundamentação?</t>
        </is>
      </c>
      <c r="D11" s="8" t="n"/>
      <c r="E11" s="8" t="n"/>
      <c r="F11" s="8" t="n"/>
      <c r="G11" s="8" t="n"/>
    </row>
    <row r="12">
      <c r="A12" s="7" t="n">
        <v>11</v>
      </c>
      <c r="B12" s="7" t="inlineStr">
        <is>
          <t>Transparência</t>
        </is>
      </c>
      <c r="C12" s="7" t="inlineStr">
        <is>
          <t>O CPF do proprietário pode aparecer em dados publicados em portal de transparência ou em resposta a pedido via LAI?</t>
        </is>
      </c>
      <c r="D12" s="8" t="n"/>
      <c r="E12" s="8" t="n"/>
      <c r="F12" s="8" t="n"/>
      <c r="G12" s="8" t="n"/>
    </row>
    <row r="13">
      <c r="A13" s="7" t="n">
        <v>12</v>
      </c>
      <c r="B13" s="7" t="inlineStr">
        <is>
          <t>Transparência</t>
        </is>
      </c>
      <c r="C13" s="7" t="inlineStr">
        <is>
          <t>Pedido via LAI sobre os emolumentos arrecadados pela serventia. É dever responder?</t>
        </is>
      </c>
      <c r="D13" s="8" t="n"/>
      <c r="E13" s="8" t="n"/>
      <c r="F13" s="8" t="n"/>
      <c r="G13" s="8" t="n"/>
    </row>
    <row r="14">
      <c r="A14" s="7" t="n">
        <v>13</v>
      </c>
      <c r="B14" s="7" t="inlineStr">
        <is>
          <t>Dado sensível</t>
        </is>
      </c>
      <c r="C14" s="7" t="inlineStr">
        <is>
          <t>A matrícula contém averbação de interdição/curatela. A certidão pode ser emitida sem restrição?</t>
        </is>
      </c>
      <c r="D14" s="8" t="n"/>
      <c r="E14" s="8" t="n"/>
      <c r="F14" s="8" t="n"/>
      <c r="G14" s="8" t="n"/>
    </row>
    <row r="15">
      <c r="A15" s="7" t="n">
        <v>14</v>
      </c>
      <c r="B15" s="7" t="inlineStr">
        <is>
          <t>Dado sensível</t>
        </is>
      </c>
      <c r="C15" s="7" t="inlineStr">
        <is>
          <t>Há averbação envolvendo menor de idade (ex.: doação a incapaz). Devo tarjar algo?</t>
        </is>
      </c>
      <c r="D15" s="8" t="n"/>
      <c r="E15" s="8" t="n"/>
      <c r="F15" s="8" t="n"/>
      <c r="G15" s="8" t="n"/>
    </row>
    <row r="16">
      <c r="A16" s="7" t="n">
        <v>15</v>
      </c>
      <c r="B16" s="7" t="inlineStr">
        <is>
          <t>Dado sensível</t>
        </is>
      </c>
      <c r="C16" s="7" t="inlineStr">
        <is>
          <t>Pedido de cópia de documento arquivado (título) que contém dados de saúde de uma das partes. Forneço?</t>
        </is>
      </c>
      <c r="D16" s="8" t="n"/>
      <c r="E16" s="8" t="n"/>
      <c r="F16" s="8" t="n"/>
      <c r="G16" s="8" t="n"/>
    </row>
    <row r="17">
      <c r="A17" s="7" t="n">
        <v>16</v>
      </c>
      <c r="B17" s="7" t="inlineStr">
        <is>
          <t>Tratamento</t>
        </is>
      </c>
      <c r="C17" s="7" t="inlineStr">
        <is>
          <t>Posso enviar certidão por e-mail/WhatsApp ao requerente? Que cuidados LGPD valem?</t>
        </is>
      </c>
      <c r="D17" s="8" t="n"/>
      <c r="E17" s="8" t="n"/>
      <c r="F17" s="8" t="n"/>
      <c r="G17" s="8" t="n"/>
    </row>
    <row r="18">
      <c r="A18" s="7" t="n">
        <v>17</v>
      </c>
      <c r="B18" s="7" t="inlineStr">
        <is>
          <t>Tratamento</t>
        </is>
      </c>
      <c r="C18" s="7" t="inlineStr">
        <is>
          <t>Por quanto tempo devo guardar os dados pessoais de quem pediu uma certidão?</t>
        </is>
      </c>
      <c r="D18" s="8" t="n"/>
      <c r="E18" s="8" t="n"/>
      <c r="F18" s="8" t="n"/>
      <c r="G18" s="8" t="n"/>
    </row>
    <row r="19">
      <c r="A19" s="7" t="n">
        <v>18</v>
      </c>
      <c r="B19" s="7" t="inlineStr">
        <is>
          <t>Tratamento</t>
        </is>
      </c>
      <c r="C19" s="7" t="inlineStr">
        <is>
          <t>Um titular pede, com base na LGPD, a exclusão dos seus dados da matrícula. Como respondo?</t>
        </is>
      </c>
      <c r="D19" s="8" t="n"/>
      <c r="E19" s="8" t="n"/>
      <c r="F19" s="8" t="n"/>
      <c r="G19" s="8" t="n"/>
    </row>
    <row r="20">
      <c r="A20" s="7" t="n">
        <v>19</v>
      </c>
      <c r="B20" s="7" t="inlineStr">
        <is>
          <t>Tratamento</t>
        </is>
      </c>
      <c r="C20" s="7" t="inlineStr">
        <is>
          <t>Um titular pede relatório de quem consultou sua matrícula. Tenho obrigação de informar?</t>
        </is>
      </c>
      <c r="D20" s="8" t="n"/>
      <c r="E20" s="8" t="n"/>
      <c r="F20" s="8" t="n"/>
      <c r="G20" s="8" t="n"/>
    </row>
    <row r="21">
      <c r="A21" s="7" t="n">
        <v>20</v>
      </c>
      <c r="B21" s="7" t="inlineStr">
        <is>
          <t>Tratamento</t>
        </is>
      </c>
      <c r="C21" s="7" t="inlineStr">
        <is>
          <t>Um titular pede correção de dado pessoal errado na matrícula. Qual é o procedimento: retificação ou pedido LGPD?</t>
        </is>
      </c>
      <c r="D21" s="8" t="n"/>
      <c r="E21" s="8" t="n"/>
      <c r="F21" s="8" t="n"/>
      <c r="G21" s="8" t="n"/>
    </row>
    <row r="22">
      <c r="A22" s="7" t="n">
        <v>21</v>
      </c>
      <c r="B22" s="7" t="inlineStr">
        <is>
          <t>Compartilhamento</t>
        </is>
      </c>
      <c r="C22" s="7" t="inlineStr">
        <is>
          <t>Uma empresa (imobiliária/fintech) quer acesso em lote ou por API a dados de matrículas. Posso firmar convênio?</t>
        </is>
      </c>
      <c r="D22" s="8" t="n"/>
      <c r="E22" s="8" t="n"/>
      <c r="F22" s="8" t="n"/>
      <c r="G22" s="8" t="n"/>
    </row>
    <row r="23">
      <c r="A23" s="7" t="n">
        <v>22</v>
      </c>
      <c r="B23" s="7" t="inlineStr">
        <is>
          <t>Compartilhamento</t>
        </is>
      </c>
      <c r="C23" s="7" t="inlineStr">
        <is>
          <t>Compartilhamento com ONR/SREI e centrais eletrônicas: preciso de base legal adicional ou de consentimento?</t>
        </is>
      </c>
      <c r="D23" s="8" t="n"/>
      <c r="E23" s="8" t="n"/>
      <c r="F23" s="8" t="n"/>
      <c r="G23" s="8" t="n"/>
    </row>
    <row r="24">
      <c r="A24" s="7" t="n">
        <v>23</v>
      </c>
      <c r="B24" s="7" t="inlineStr">
        <is>
          <t>Norma CE</t>
        </is>
      </c>
      <c r="C24" s="7" t="inlineStr">
        <is>
          <t>O que mudou com o Provimento nº 15/2026/CGJCE na qualificação das partes para registro?</t>
        </is>
      </c>
      <c r="D24" s="8" t="n"/>
      <c r="E24" s="8" t="n"/>
      <c r="F24" s="8" t="n"/>
      <c r="G24" s="8" t="n"/>
    </row>
    <row r="25">
      <c r="A25" s="7" t="n">
        <v>24</v>
      </c>
      <c r="B25" s="7" t="inlineStr">
        <is>
          <t>Norma CE</t>
        </is>
      </c>
      <c r="C25" s="7" t="inlineStr">
        <is>
          <t>Pelo Código de Normas do CE, quais são os requisitos para emitir certidão digital?</t>
        </is>
      </c>
      <c r="D25" s="8" t="n"/>
      <c r="E25" s="8" t="n"/>
      <c r="F25" s="8" t="n"/>
      <c r="G25" s="8" t="n"/>
    </row>
    <row r="26">
      <c r="A26" s="7" t="n">
        <v>25</v>
      </c>
      <c r="B26" s="7" t="inlineStr">
        <is>
          <t>Incidente</t>
        </is>
      </c>
      <c r="C26" s="7" t="inlineStr">
        <is>
          <t>Uma certidão com dados pessoais foi enviada ao e-mail errado. Quais são as obrigações da serventia?</t>
        </is>
      </c>
      <c r="D26" s="8" t="n"/>
      <c r="E26" s="8" t="n"/>
      <c r="F26" s="8" t="n"/>
      <c r="G26" s="8" t="n"/>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126"/>
  <sheetViews>
    <sheetView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14" customWidth="1" min="2" max="2"/>
    <col width="16" customWidth="1" min="3" max="3"/>
    <col width="50" customWidth="1" min="4" max="4"/>
    <col width="13" customWidth="1" min="5" max="5"/>
    <col width="18" customWidth="1" min="6" max="6"/>
    <col width="70" customWidth="1" min="7" max="7"/>
    <col width="30" customWidth="1" min="8" max="8"/>
    <col width="11" customWidth="1" min="9" max="9"/>
    <col width="11" customWidth="1" min="10" max="10"/>
    <col width="11" customWidth="1" min="11" max="11"/>
    <col width="13" customWidth="1" min="12" max="12"/>
    <col width="10" customWidth="1" min="13" max="13"/>
    <col width="13" customWidth="1" min="14" max="14"/>
    <col width="10" customWidth="1" min="15" max="15"/>
    <col width="10" customWidth="1" min="16" max="16"/>
    <col width="13" customWidth="1" min="17" max="17"/>
    <col width="10" customWidth="1" min="18" max="18"/>
    <col width="40" customWidth="1" min="19" max="19"/>
    <col width="11" customWidth="1" min="20" max="20"/>
    <col width="12" customWidth="1" min="21" max="21"/>
    <col width="11" customWidth="1" min="22" max="22"/>
    <col width="50" customWidth="1" min="23" max="23"/>
  </cols>
  <sheetData>
    <row r="1" ht="30" customHeight="1">
      <c r="A1" s="6" t="inlineStr">
        <is>
          <t>ID</t>
        </is>
      </c>
      <c r="B1" s="6" t="inlineStr">
        <is>
          <t>Ferramenta</t>
        </is>
      </c>
      <c r="C1" s="6" t="inlineStr">
        <is>
          <t>Categoria</t>
        </is>
      </c>
      <c r="D1" s="6" t="inlineStr">
        <is>
          <t>Pergunta</t>
        </is>
      </c>
      <c r="E1" s="6" t="inlineStr">
        <is>
          <t>Data da coleta</t>
        </is>
      </c>
      <c r="F1" s="6" t="inlineStr">
        <is>
          <t>Versão / plano</t>
        </is>
      </c>
      <c r="G1" s="6" t="inlineStr">
        <is>
          <t>Resposta integral</t>
        </is>
      </c>
      <c r="H1" s="6" t="inlineStr">
        <is>
          <t>Fontes citadas</t>
        </is>
      </c>
      <c r="I1" s="6" t="inlineStr">
        <is>
          <t>Latência (s)</t>
        </is>
      </c>
      <c r="J1" s="6" t="inlineStr">
        <is>
          <t>Tokens entrada</t>
        </is>
      </c>
      <c r="K1" s="6" t="inlineStr">
        <is>
          <t>Tokens saída</t>
        </is>
      </c>
      <c r="L1" s="6" t="inlineStr">
        <is>
          <t>Custo estimado (R$)</t>
        </is>
      </c>
      <c r="M1" s="6" t="inlineStr">
        <is>
          <t>Veredito (0-2)</t>
        </is>
      </c>
      <c r="N1" s="6" t="inlineStr">
        <is>
          <t>Fundamentação (0-2)</t>
        </is>
      </c>
      <c r="O1" s="6" t="inlineStr">
        <is>
          <t>Norma CE (0-2)</t>
        </is>
      </c>
      <c r="P1" s="6" t="inlineStr">
        <is>
          <t>Acionável (0-2)</t>
        </is>
      </c>
      <c r="Q1" s="6" t="inlineStr">
        <is>
          <t>Sem alucinação (0-2)</t>
        </is>
      </c>
      <c r="R1" s="6" t="inlineStr">
        <is>
          <t>Nota (0-10)</t>
        </is>
      </c>
      <c r="S1" s="6" t="inlineStr">
        <is>
          <t>Observações</t>
        </is>
      </c>
      <c r="T1" s="6" t="inlineStr">
        <is>
          <t>Citações (total)</t>
        </is>
      </c>
      <c r="U1" s="6" t="inlineStr">
        <is>
          <t>Citações verificadas</t>
        </is>
      </c>
      <c r="V1" s="6" t="inlineStr">
        <is>
          <t>Taxa verificável</t>
        </is>
      </c>
      <c r="W1" s="6" t="inlineStr">
        <is>
          <t>Citações não verificadas</t>
        </is>
      </c>
    </row>
    <row r="2">
      <c r="A2" s="7" t="n">
        <v>1</v>
      </c>
      <c r="B2" s="7" t="inlineStr">
        <is>
          <t>Jus IA</t>
        </is>
      </c>
      <c r="C2" s="9">
        <f>INDEX(Perguntas!$B$2:$B$26,MATCH(A2,Perguntas!$A$2:$A$26,0))</f>
        <v/>
      </c>
      <c r="D2" s="9">
        <f>INDEX(Perguntas!$C$2:$C$26,MATCH(A2,Perguntas!$A$2:$A$26,0))</f>
        <v/>
      </c>
      <c r="E2" s="8" t="n"/>
      <c r="F2" s="8" t="n"/>
      <c r="G2" s="8" t="n"/>
      <c r="H2" s="8" t="n"/>
      <c r="I2" s="8" t="n"/>
      <c r="J2" s="8" t="n"/>
      <c r="K2" s="8" t="n"/>
      <c r="L2" s="10">
        <f>IF(COUNT(J2:K2)=2,(J2*Parametros!$B$3+K2*Parametros!$B$4)/1000000*Parametros!$B$5,"")</f>
        <v/>
      </c>
      <c r="M2" s="8" t="n"/>
      <c r="N2" s="8" t="n"/>
      <c r="O2" s="8" t="n"/>
      <c r="P2" s="8" t="n"/>
      <c r="Q2" s="8" t="n"/>
      <c r="R2" s="9">
        <f>IF(COUNT(M2:Q2)=5,SUM(M2:Q2),"")</f>
        <v/>
      </c>
      <c r="S2" s="8" t="n"/>
      <c r="T2" s="8" t="n"/>
      <c r="U2" s="8" t="n"/>
      <c r="V2" s="11">
        <f>IF(AND(ISNUMBER(T2),T2&gt;0),U2/T2,"")</f>
        <v/>
      </c>
      <c r="W2" s="8" t="n"/>
    </row>
    <row r="3">
      <c r="A3" s="7" t="n">
        <v>2</v>
      </c>
      <c r="B3" s="7" t="inlineStr">
        <is>
          <t>Jus IA</t>
        </is>
      </c>
      <c r="C3" s="9">
        <f>INDEX(Perguntas!$B$2:$B$26,MATCH(A3,Perguntas!$A$2:$A$26,0))</f>
        <v/>
      </c>
      <c r="D3" s="9">
        <f>INDEX(Perguntas!$C$2:$C$26,MATCH(A3,Perguntas!$A$2:$A$26,0))</f>
        <v/>
      </c>
      <c r="E3" s="8" t="n"/>
      <c r="F3" s="8" t="n"/>
      <c r="G3" s="8" t="n"/>
      <c r="H3" s="8" t="n"/>
      <c r="I3" s="8" t="n"/>
      <c r="J3" s="8" t="n"/>
      <c r="K3" s="8" t="n"/>
      <c r="L3" s="10">
        <f>IF(COUNT(J3:K3)=2,(J3*Parametros!$B$3+K3*Parametros!$B$4)/1000000*Parametros!$B$5,"")</f>
        <v/>
      </c>
      <c r="M3" s="8" t="n"/>
      <c r="N3" s="8" t="n"/>
      <c r="O3" s="8" t="n"/>
      <c r="P3" s="8" t="n"/>
      <c r="Q3" s="8" t="n"/>
      <c r="R3" s="9">
        <f>IF(COUNT(M3:Q3)=5,SUM(M3:Q3),"")</f>
        <v/>
      </c>
      <c r="S3" s="8" t="n"/>
      <c r="T3" s="8" t="n"/>
      <c r="U3" s="8" t="n"/>
      <c r="V3" s="11">
        <f>IF(AND(ISNUMBER(T3),T3&gt;0),U3/T3,"")</f>
        <v/>
      </c>
      <c r="W3" s="8" t="n"/>
    </row>
    <row r="4">
      <c r="A4" s="7" t="n">
        <v>3</v>
      </c>
      <c r="B4" s="7" t="inlineStr">
        <is>
          <t>Jus IA</t>
        </is>
      </c>
      <c r="C4" s="9">
        <f>INDEX(Perguntas!$B$2:$B$26,MATCH(A4,Perguntas!$A$2:$A$26,0))</f>
        <v/>
      </c>
      <c r="D4" s="9">
        <f>INDEX(Perguntas!$C$2:$C$26,MATCH(A4,Perguntas!$A$2:$A$26,0))</f>
        <v/>
      </c>
      <c r="E4" s="8" t="n"/>
      <c r="F4" s="8" t="n"/>
      <c r="G4" s="8" t="n"/>
      <c r="H4" s="8" t="n"/>
      <c r="I4" s="8" t="n"/>
      <c r="J4" s="8" t="n"/>
      <c r="K4" s="8" t="n"/>
      <c r="L4" s="10">
        <f>IF(COUNT(J4:K4)=2,(J4*Parametros!$B$3+K4*Parametros!$B$4)/1000000*Parametros!$B$5,"")</f>
        <v/>
      </c>
      <c r="M4" s="8" t="n"/>
      <c r="N4" s="8" t="n"/>
      <c r="O4" s="8" t="n"/>
      <c r="P4" s="8" t="n"/>
      <c r="Q4" s="8" t="n"/>
      <c r="R4" s="9">
        <f>IF(COUNT(M4:Q4)=5,SUM(M4:Q4),"")</f>
        <v/>
      </c>
      <c r="S4" s="8" t="n"/>
      <c r="T4" s="8" t="n"/>
      <c r="U4" s="8" t="n"/>
      <c r="V4" s="11">
        <f>IF(AND(ISNUMBER(T4),T4&gt;0),U4/T4,"")</f>
        <v/>
      </c>
      <c r="W4" s="8" t="n"/>
    </row>
    <row r="5">
      <c r="A5" s="7" t="n">
        <v>4</v>
      </c>
      <c r="B5" s="7" t="inlineStr">
        <is>
          <t>Jus IA</t>
        </is>
      </c>
      <c r="C5" s="9">
        <f>INDEX(Perguntas!$B$2:$B$26,MATCH(A5,Perguntas!$A$2:$A$26,0))</f>
        <v/>
      </c>
      <c r="D5" s="9">
        <f>INDEX(Perguntas!$C$2:$C$26,MATCH(A5,Perguntas!$A$2:$A$26,0))</f>
        <v/>
      </c>
      <c r="E5" s="8" t="n"/>
      <c r="F5" s="8" t="n"/>
      <c r="G5" s="8" t="n"/>
      <c r="H5" s="8" t="n"/>
      <c r="I5" s="8" t="n"/>
      <c r="J5" s="8" t="n"/>
      <c r="K5" s="8" t="n"/>
      <c r="L5" s="10">
        <f>IF(COUNT(J5:K5)=2,(J5*Parametros!$B$3+K5*Parametros!$B$4)/1000000*Parametros!$B$5,"")</f>
        <v/>
      </c>
      <c r="M5" s="8" t="n"/>
      <c r="N5" s="8" t="n"/>
      <c r="O5" s="8" t="n"/>
      <c r="P5" s="8" t="n"/>
      <c r="Q5" s="8" t="n"/>
      <c r="R5" s="9">
        <f>IF(COUNT(M5:Q5)=5,SUM(M5:Q5),"")</f>
        <v/>
      </c>
      <c r="S5" s="8" t="n"/>
      <c r="T5" s="8" t="n"/>
      <c r="U5" s="8" t="n"/>
      <c r="V5" s="11">
        <f>IF(AND(ISNUMBER(T5),T5&gt;0),U5/T5,"")</f>
        <v/>
      </c>
      <c r="W5" s="8" t="n"/>
    </row>
    <row r="6">
      <c r="A6" s="7" t="n">
        <v>5</v>
      </c>
      <c r="B6" s="7" t="inlineStr">
        <is>
          <t>Jus IA</t>
        </is>
      </c>
      <c r="C6" s="9">
        <f>INDEX(Perguntas!$B$2:$B$26,MATCH(A6,Perguntas!$A$2:$A$26,0))</f>
        <v/>
      </c>
      <c r="D6" s="9">
        <f>INDEX(Perguntas!$C$2:$C$26,MATCH(A6,Perguntas!$A$2:$A$26,0))</f>
        <v/>
      </c>
      <c r="E6" s="8" t="n"/>
      <c r="F6" s="8" t="n"/>
      <c r="G6" s="8" t="n"/>
      <c r="H6" s="8" t="n"/>
      <c r="I6" s="8" t="n"/>
      <c r="J6" s="8" t="n"/>
      <c r="K6" s="8" t="n"/>
      <c r="L6" s="10">
        <f>IF(COUNT(J6:K6)=2,(J6*Parametros!$B$3+K6*Parametros!$B$4)/1000000*Parametros!$B$5,"")</f>
        <v/>
      </c>
      <c r="M6" s="8" t="n"/>
      <c r="N6" s="8" t="n"/>
      <c r="O6" s="8" t="n"/>
      <c r="P6" s="8" t="n"/>
      <c r="Q6" s="8" t="n"/>
      <c r="R6" s="9">
        <f>IF(COUNT(M6:Q6)=5,SUM(M6:Q6),"")</f>
        <v/>
      </c>
      <c r="S6" s="8" t="n"/>
      <c r="T6" s="8" t="n"/>
      <c r="U6" s="8" t="n"/>
      <c r="V6" s="11">
        <f>IF(AND(ISNUMBER(T6),T6&gt;0),U6/T6,"")</f>
        <v/>
      </c>
      <c r="W6" s="8" t="n"/>
    </row>
    <row r="7">
      <c r="A7" s="7" t="n">
        <v>6</v>
      </c>
      <c r="B7" s="7" t="inlineStr">
        <is>
          <t>Jus IA</t>
        </is>
      </c>
      <c r="C7" s="9">
        <f>INDEX(Perguntas!$B$2:$B$26,MATCH(A7,Perguntas!$A$2:$A$26,0))</f>
        <v/>
      </c>
      <c r="D7" s="9">
        <f>INDEX(Perguntas!$C$2:$C$26,MATCH(A7,Perguntas!$A$2:$A$26,0))</f>
        <v/>
      </c>
      <c r="E7" s="8" t="n"/>
      <c r="F7" s="8" t="n"/>
      <c r="G7" s="8" t="n"/>
      <c r="H7" s="8" t="n"/>
      <c r="I7" s="8" t="n"/>
      <c r="J7" s="8" t="n"/>
      <c r="K7" s="8" t="n"/>
      <c r="L7" s="10">
        <f>IF(COUNT(J7:K7)=2,(J7*Parametros!$B$3+K7*Parametros!$B$4)/1000000*Parametros!$B$5,"")</f>
        <v/>
      </c>
      <c r="M7" s="8" t="n"/>
      <c r="N7" s="8" t="n"/>
      <c r="O7" s="8" t="n"/>
      <c r="P7" s="8" t="n"/>
      <c r="Q7" s="8" t="n"/>
      <c r="R7" s="9">
        <f>IF(COUNT(M7:Q7)=5,SUM(M7:Q7),"")</f>
        <v/>
      </c>
      <c r="S7" s="8" t="n"/>
      <c r="T7" s="8" t="n"/>
      <c r="U7" s="8" t="n"/>
      <c r="V7" s="11">
        <f>IF(AND(ISNUMBER(T7),T7&gt;0),U7/T7,"")</f>
        <v/>
      </c>
      <c r="W7" s="8" t="n"/>
    </row>
    <row r="8">
      <c r="A8" s="7" t="n">
        <v>7</v>
      </c>
      <c r="B8" s="7" t="inlineStr">
        <is>
          <t>Jus IA</t>
        </is>
      </c>
      <c r="C8" s="9">
        <f>INDEX(Perguntas!$B$2:$B$26,MATCH(A8,Perguntas!$A$2:$A$26,0))</f>
        <v/>
      </c>
      <c r="D8" s="9">
        <f>INDEX(Perguntas!$C$2:$C$26,MATCH(A8,Perguntas!$A$2:$A$26,0))</f>
        <v/>
      </c>
      <c r="E8" s="8" t="n"/>
      <c r="F8" s="8" t="n"/>
      <c r="G8" s="8" t="n"/>
      <c r="H8" s="8" t="n"/>
      <c r="I8" s="8" t="n"/>
      <c r="J8" s="8" t="n"/>
      <c r="K8" s="8" t="n"/>
      <c r="L8" s="10">
        <f>IF(COUNT(J8:K8)=2,(J8*Parametros!$B$3+K8*Parametros!$B$4)/1000000*Parametros!$B$5,"")</f>
        <v/>
      </c>
      <c r="M8" s="8" t="n"/>
      <c r="N8" s="8" t="n"/>
      <c r="O8" s="8" t="n"/>
      <c r="P8" s="8" t="n"/>
      <c r="Q8" s="8" t="n"/>
      <c r="R8" s="9">
        <f>IF(COUNT(M8:Q8)=5,SUM(M8:Q8),"")</f>
        <v/>
      </c>
      <c r="S8" s="8" t="n"/>
      <c r="T8" s="8" t="n"/>
      <c r="U8" s="8" t="n"/>
      <c r="V8" s="11">
        <f>IF(AND(ISNUMBER(T8),T8&gt;0),U8/T8,"")</f>
        <v/>
      </c>
      <c r="W8" s="8" t="n"/>
    </row>
    <row r="9">
      <c r="A9" s="7" t="n">
        <v>8</v>
      </c>
      <c r="B9" s="7" t="inlineStr">
        <is>
          <t>Jus IA</t>
        </is>
      </c>
      <c r="C9" s="9">
        <f>INDEX(Perguntas!$B$2:$B$26,MATCH(A9,Perguntas!$A$2:$A$26,0))</f>
        <v/>
      </c>
      <c r="D9" s="9">
        <f>INDEX(Perguntas!$C$2:$C$26,MATCH(A9,Perguntas!$A$2:$A$26,0))</f>
        <v/>
      </c>
      <c r="E9" s="8" t="n"/>
      <c r="F9" s="8" t="n"/>
      <c r="G9" s="8" t="n"/>
      <c r="H9" s="8" t="n"/>
      <c r="I9" s="8" t="n"/>
      <c r="J9" s="8" t="n"/>
      <c r="K9" s="8" t="n"/>
      <c r="L9" s="10">
        <f>IF(COUNT(J9:K9)=2,(J9*Parametros!$B$3+K9*Parametros!$B$4)/1000000*Parametros!$B$5,"")</f>
        <v/>
      </c>
      <c r="M9" s="8" t="n"/>
      <c r="N9" s="8" t="n"/>
      <c r="O9" s="8" t="n"/>
      <c r="P9" s="8" t="n"/>
      <c r="Q9" s="8" t="n"/>
      <c r="R9" s="9">
        <f>IF(COUNT(M9:Q9)=5,SUM(M9:Q9),"")</f>
        <v/>
      </c>
      <c r="S9" s="8" t="n"/>
      <c r="T9" s="8" t="n"/>
      <c r="U9" s="8" t="n"/>
      <c r="V9" s="11">
        <f>IF(AND(ISNUMBER(T9),T9&gt;0),U9/T9,"")</f>
        <v/>
      </c>
      <c r="W9" s="8" t="n"/>
    </row>
    <row r="10">
      <c r="A10" s="7" t="n">
        <v>9</v>
      </c>
      <c r="B10" s="7" t="inlineStr">
        <is>
          <t>Jus IA</t>
        </is>
      </c>
      <c r="C10" s="9">
        <f>INDEX(Perguntas!$B$2:$B$26,MATCH(A10,Perguntas!$A$2:$A$26,0))</f>
        <v/>
      </c>
      <c r="D10" s="9">
        <f>INDEX(Perguntas!$C$2:$C$26,MATCH(A10,Perguntas!$A$2:$A$26,0))</f>
        <v/>
      </c>
      <c r="E10" s="8" t="n"/>
      <c r="F10" s="8" t="n"/>
      <c r="G10" s="8" t="n"/>
      <c r="H10" s="8" t="n"/>
      <c r="I10" s="8" t="n"/>
      <c r="J10" s="8" t="n"/>
      <c r="K10" s="8" t="n"/>
      <c r="L10" s="10">
        <f>IF(COUNT(J10:K10)=2,(J10*Parametros!$B$3+K10*Parametros!$B$4)/1000000*Parametros!$B$5,"")</f>
        <v/>
      </c>
      <c r="M10" s="8" t="n"/>
      <c r="N10" s="8" t="n"/>
      <c r="O10" s="8" t="n"/>
      <c r="P10" s="8" t="n"/>
      <c r="Q10" s="8" t="n"/>
      <c r="R10" s="9">
        <f>IF(COUNT(M10:Q10)=5,SUM(M10:Q10),"")</f>
        <v/>
      </c>
      <c r="S10" s="8" t="n"/>
      <c r="T10" s="8" t="n"/>
      <c r="U10" s="8" t="n"/>
      <c r="V10" s="11">
        <f>IF(AND(ISNUMBER(T10),T10&gt;0),U10/T10,"")</f>
        <v/>
      </c>
      <c r="W10" s="8" t="n"/>
    </row>
    <row r="11">
      <c r="A11" s="7" t="n">
        <v>10</v>
      </c>
      <c r="B11" s="7" t="inlineStr">
        <is>
          <t>Jus IA</t>
        </is>
      </c>
      <c r="C11" s="9">
        <f>INDEX(Perguntas!$B$2:$B$26,MATCH(A11,Perguntas!$A$2:$A$26,0))</f>
        <v/>
      </c>
      <c r="D11" s="9">
        <f>INDEX(Perguntas!$C$2:$C$26,MATCH(A11,Perguntas!$A$2:$A$26,0))</f>
        <v/>
      </c>
      <c r="E11" s="8" t="n"/>
      <c r="F11" s="8" t="n"/>
      <c r="G11" s="8" t="n"/>
      <c r="H11" s="8" t="n"/>
      <c r="I11" s="8" t="n"/>
      <c r="J11" s="8" t="n"/>
      <c r="K11" s="8" t="n"/>
      <c r="L11" s="10">
        <f>IF(COUNT(J11:K11)=2,(J11*Parametros!$B$3+K11*Parametros!$B$4)/1000000*Parametros!$B$5,"")</f>
        <v/>
      </c>
      <c r="M11" s="8" t="n"/>
      <c r="N11" s="8" t="n"/>
      <c r="O11" s="8" t="n"/>
      <c r="P11" s="8" t="n"/>
      <c r="Q11" s="8" t="n"/>
      <c r="R11" s="9">
        <f>IF(COUNT(M11:Q11)=5,SUM(M11:Q11),"")</f>
        <v/>
      </c>
      <c r="S11" s="8" t="n"/>
      <c r="T11" s="8" t="n"/>
      <c r="U11" s="8" t="n"/>
      <c r="V11" s="11">
        <f>IF(AND(ISNUMBER(T11),T11&gt;0),U11/T11,"")</f>
        <v/>
      </c>
      <c r="W11" s="8" t="n"/>
    </row>
    <row r="12">
      <c r="A12" s="7" t="n">
        <v>11</v>
      </c>
      <c r="B12" s="7" t="inlineStr">
        <is>
          <t>Jus IA</t>
        </is>
      </c>
      <c r="C12" s="9">
        <f>INDEX(Perguntas!$B$2:$B$26,MATCH(A12,Perguntas!$A$2:$A$26,0))</f>
        <v/>
      </c>
      <c r="D12" s="9">
        <f>INDEX(Perguntas!$C$2:$C$26,MATCH(A12,Perguntas!$A$2:$A$26,0))</f>
        <v/>
      </c>
      <c r="E12" s="8" t="n"/>
      <c r="F12" s="8" t="n"/>
      <c r="G12" s="8" t="n"/>
      <c r="H12" s="8" t="n"/>
      <c r="I12" s="8" t="n"/>
      <c r="J12" s="8" t="n"/>
      <c r="K12" s="8" t="n"/>
      <c r="L12" s="10">
        <f>IF(COUNT(J12:K12)=2,(J12*Parametros!$B$3+K12*Parametros!$B$4)/1000000*Parametros!$B$5,"")</f>
        <v/>
      </c>
      <c r="M12" s="8" t="n"/>
      <c r="N12" s="8" t="n"/>
      <c r="O12" s="8" t="n"/>
      <c r="P12" s="8" t="n"/>
      <c r="Q12" s="8" t="n"/>
      <c r="R12" s="9">
        <f>IF(COUNT(M12:Q12)=5,SUM(M12:Q12),"")</f>
        <v/>
      </c>
      <c r="S12" s="8" t="n"/>
      <c r="T12" s="8" t="n"/>
      <c r="U12" s="8" t="n"/>
      <c r="V12" s="11">
        <f>IF(AND(ISNUMBER(T12),T12&gt;0),U12/T12,"")</f>
        <v/>
      </c>
      <c r="W12" s="8" t="n"/>
    </row>
    <row r="13">
      <c r="A13" s="7" t="n">
        <v>12</v>
      </c>
      <c r="B13" s="7" t="inlineStr">
        <is>
          <t>Jus IA</t>
        </is>
      </c>
      <c r="C13" s="9">
        <f>INDEX(Perguntas!$B$2:$B$26,MATCH(A13,Perguntas!$A$2:$A$26,0))</f>
        <v/>
      </c>
      <c r="D13" s="9">
        <f>INDEX(Perguntas!$C$2:$C$26,MATCH(A13,Perguntas!$A$2:$A$26,0))</f>
        <v/>
      </c>
      <c r="E13" s="8" t="n"/>
      <c r="F13" s="8" t="n"/>
      <c r="G13" s="8" t="n"/>
      <c r="H13" s="8" t="n"/>
      <c r="I13" s="8" t="n"/>
      <c r="J13" s="8" t="n"/>
      <c r="K13" s="8" t="n"/>
      <c r="L13" s="10">
        <f>IF(COUNT(J13:K13)=2,(J13*Parametros!$B$3+K13*Parametros!$B$4)/1000000*Parametros!$B$5,"")</f>
        <v/>
      </c>
      <c r="M13" s="8" t="n"/>
      <c r="N13" s="8" t="n"/>
      <c r="O13" s="8" t="n"/>
      <c r="P13" s="8" t="n"/>
      <c r="Q13" s="8" t="n"/>
      <c r="R13" s="9">
        <f>IF(COUNT(M13:Q13)=5,SUM(M13:Q13),"")</f>
        <v/>
      </c>
      <c r="S13" s="8" t="n"/>
      <c r="T13" s="8" t="n"/>
      <c r="U13" s="8" t="n"/>
      <c r="V13" s="11">
        <f>IF(AND(ISNUMBER(T13),T13&gt;0),U13/T13,"")</f>
        <v/>
      </c>
      <c r="W13" s="8" t="n"/>
    </row>
    <row r="14">
      <c r="A14" s="7" t="n">
        <v>13</v>
      </c>
      <c r="B14" s="7" t="inlineStr">
        <is>
          <t>Jus IA</t>
        </is>
      </c>
      <c r="C14" s="9">
        <f>INDEX(Perguntas!$B$2:$B$26,MATCH(A14,Perguntas!$A$2:$A$26,0))</f>
        <v/>
      </c>
      <c r="D14" s="9">
        <f>INDEX(Perguntas!$C$2:$C$26,MATCH(A14,Perguntas!$A$2:$A$26,0))</f>
        <v/>
      </c>
      <c r="E14" s="8" t="n"/>
      <c r="F14" s="8" t="n"/>
      <c r="G14" s="8" t="n"/>
      <c r="H14" s="8" t="n"/>
      <c r="I14" s="8" t="n"/>
      <c r="J14" s="8" t="n"/>
      <c r="K14" s="8" t="n"/>
      <c r="L14" s="10">
        <f>IF(COUNT(J14:K14)=2,(J14*Parametros!$B$3+K14*Parametros!$B$4)/1000000*Parametros!$B$5,"")</f>
        <v/>
      </c>
      <c r="M14" s="8" t="n"/>
      <c r="N14" s="8" t="n"/>
      <c r="O14" s="8" t="n"/>
      <c r="P14" s="8" t="n"/>
      <c r="Q14" s="8" t="n"/>
      <c r="R14" s="9">
        <f>IF(COUNT(M14:Q14)=5,SUM(M14:Q14),"")</f>
        <v/>
      </c>
      <c r="S14" s="8" t="n"/>
      <c r="T14" s="8" t="n"/>
      <c r="U14" s="8" t="n"/>
      <c r="V14" s="11">
        <f>IF(AND(ISNUMBER(T14),T14&gt;0),U14/T14,"")</f>
        <v/>
      </c>
      <c r="W14" s="8" t="n"/>
    </row>
    <row r="15">
      <c r="A15" s="7" t="n">
        <v>14</v>
      </c>
      <c r="B15" s="7" t="inlineStr">
        <is>
          <t>Jus IA</t>
        </is>
      </c>
      <c r="C15" s="9">
        <f>INDEX(Perguntas!$B$2:$B$26,MATCH(A15,Perguntas!$A$2:$A$26,0))</f>
        <v/>
      </c>
      <c r="D15" s="9">
        <f>INDEX(Perguntas!$C$2:$C$26,MATCH(A15,Perguntas!$A$2:$A$26,0))</f>
        <v/>
      </c>
      <c r="E15" s="8" t="n"/>
      <c r="F15" s="8" t="n"/>
      <c r="G15" s="8" t="n"/>
      <c r="H15" s="8" t="n"/>
      <c r="I15" s="8" t="n"/>
      <c r="J15" s="8" t="n"/>
      <c r="K15" s="8" t="n"/>
      <c r="L15" s="10">
        <f>IF(COUNT(J15:K15)=2,(J15*Parametros!$B$3+K15*Parametros!$B$4)/1000000*Parametros!$B$5,"")</f>
        <v/>
      </c>
      <c r="M15" s="8" t="n"/>
      <c r="N15" s="8" t="n"/>
      <c r="O15" s="8" t="n"/>
      <c r="P15" s="8" t="n"/>
      <c r="Q15" s="8" t="n"/>
      <c r="R15" s="9">
        <f>IF(COUNT(M15:Q15)=5,SUM(M15:Q15),"")</f>
        <v/>
      </c>
      <c r="S15" s="8" t="n"/>
      <c r="T15" s="8" t="n"/>
      <c r="U15" s="8" t="n"/>
      <c r="V15" s="11">
        <f>IF(AND(ISNUMBER(T15),T15&gt;0),U15/T15,"")</f>
        <v/>
      </c>
      <c r="W15" s="8" t="n"/>
    </row>
    <row r="16">
      <c r="A16" s="7" t="n">
        <v>15</v>
      </c>
      <c r="B16" s="7" t="inlineStr">
        <is>
          <t>Jus IA</t>
        </is>
      </c>
      <c r="C16" s="9">
        <f>INDEX(Perguntas!$B$2:$B$26,MATCH(A16,Perguntas!$A$2:$A$26,0))</f>
        <v/>
      </c>
      <c r="D16" s="9">
        <f>INDEX(Perguntas!$C$2:$C$26,MATCH(A16,Perguntas!$A$2:$A$26,0))</f>
        <v/>
      </c>
      <c r="E16" s="8" t="n"/>
      <c r="F16" s="8" t="n"/>
      <c r="G16" s="8" t="n"/>
      <c r="H16" s="8" t="n"/>
      <c r="I16" s="8" t="n"/>
      <c r="J16" s="8" t="n"/>
      <c r="K16" s="8" t="n"/>
      <c r="L16" s="10">
        <f>IF(COUNT(J16:K16)=2,(J16*Parametros!$B$3+K16*Parametros!$B$4)/1000000*Parametros!$B$5,"")</f>
        <v/>
      </c>
      <c r="M16" s="8" t="n"/>
      <c r="N16" s="8" t="n"/>
      <c r="O16" s="8" t="n"/>
      <c r="P16" s="8" t="n"/>
      <c r="Q16" s="8" t="n"/>
      <c r="R16" s="9">
        <f>IF(COUNT(M16:Q16)=5,SUM(M16:Q16),"")</f>
        <v/>
      </c>
      <c r="S16" s="8" t="n"/>
      <c r="T16" s="8" t="n"/>
      <c r="U16" s="8" t="n"/>
      <c r="V16" s="11">
        <f>IF(AND(ISNUMBER(T16),T16&gt;0),U16/T16,"")</f>
        <v/>
      </c>
      <c r="W16" s="8" t="n"/>
    </row>
    <row r="17">
      <c r="A17" s="7" t="n">
        <v>16</v>
      </c>
      <c r="B17" s="7" t="inlineStr">
        <is>
          <t>Jus IA</t>
        </is>
      </c>
      <c r="C17" s="9">
        <f>INDEX(Perguntas!$B$2:$B$26,MATCH(A17,Perguntas!$A$2:$A$26,0))</f>
        <v/>
      </c>
      <c r="D17" s="9">
        <f>INDEX(Perguntas!$C$2:$C$26,MATCH(A17,Perguntas!$A$2:$A$26,0))</f>
        <v/>
      </c>
      <c r="E17" s="8" t="n"/>
      <c r="F17" s="8" t="n"/>
      <c r="G17" s="8" t="n"/>
      <c r="H17" s="8" t="n"/>
      <c r="I17" s="8" t="n"/>
      <c r="J17" s="8" t="n"/>
      <c r="K17" s="8" t="n"/>
      <c r="L17" s="10">
        <f>IF(COUNT(J17:K17)=2,(J17*Parametros!$B$3+K17*Parametros!$B$4)/1000000*Parametros!$B$5,"")</f>
        <v/>
      </c>
      <c r="M17" s="8" t="n"/>
      <c r="N17" s="8" t="n"/>
      <c r="O17" s="8" t="n"/>
      <c r="P17" s="8" t="n"/>
      <c r="Q17" s="8" t="n"/>
      <c r="R17" s="9">
        <f>IF(COUNT(M17:Q17)=5,SUM(M17:Q17),"")</f>
        <v/>
      </c>
      <c r="S17" s="8" t="n"/>
      <c r="T17" s="8" t="n"/>
      <c r="U17" s="8" t="n"/>
      <c r="V17" s="11">
        <f>IF(AND(ISNUMBER(T17),T17&gt;0),U17/T17,"")</f>
        <v/>
      </c>
      <c r="W17" s="8" t="n"/>
    </row>
    <row r="18">
      <c r="A18" s="7" t="n">
        <v>17</v>
      </c>
      <c r="B18" s="7" t="inlineStr">
        <is>
          <t>Jus IA</t>
        </is>
      </c>
      <c r="C18" s="9">
        <f>INDEX(Perguntas!$B$2:$B$26,MATCH(A18,Perguntas!$A$2:$A$26,0))</f>
        <v/>
      </c>
      <c r="D18" s="9">
        <f>INDEX(Perguntas!$C$2:$C$26,MATCH(A18,Perguntas!$A$2:$A$26,0))</f>
        <v/>
      </c>
      <c r="E18" s="8" t="n"/>
      <c r="F18" s="8" t="n"/>
      <c r="G18" s="8" t="n"/>
      <c r="H18" s="8" t="n"/>
      <c r="I18" s="8" t="n"/>
      <c r="J18" s="8" t="n"/>
      <c r="K18" s="8" t="n"/>
      <c r="L18" s="10">
        <f>IF(COUNT(J18:K18)=2,(J18*Parametros!$B$3+K18*Parametros!$B$4)/1000000*Parametros!$B$5,"")</f>
        <v/>
      </c>
      <c r="M18" s="8" t="n"/>
      <c r="N18" s="8" t="n"/>
      <c r="O18" s="8" t="n"/>
      <c r="P18" s="8" t="n"/>
      <c r="Q18" s="8" t="n"/>
      <c r="R18" s="9">
        <f>IF(COUNT(M18:Q18)=5,SUM(M18:Q18),"")</f>
        <v/>
      </c>
      <c r="S18" s="8" t="n"/>
      <c r="T18" s="8" t="n"/>
      <c r="U18" s="8" t="n"/>
      <c r="V18" s="11">
        <f>IF(AND(ISNUMBER(T18),T18&gt;0),U18/T18,"")</f>
        <v/>
      </c>
      <c r="W18" s="8" t="n"/>
    </row>
    <row r="19">
      <c r="A19" s="7" t="n">
        <v>18</v>
      </c>
      <c r="B19" s="7" t="inlineStr">
        <is>
          <t>Jus IA</t>
        </is>
      </c>
      <c r="C19" s="9">
        <f>INDEX(Perguntas!$B$2:$B$26,MATCH(A19,Perguntas!$A$2:$A$26,0))</f>
        <v/>
      </c>
      <c r="D19" s="9">
        <f>INDEX(Perguntas!$C$2:$C$26,MATCH(A19,Perguntas!$A$2:$A$26,0))</f>
        <v/>
      </c>
      <c r="E19" s="8" t="n"/>
      <c r="F19" s="8" t="n"/>
      <c r="G19" s="8" t="n"/>
      <c r="H19" s="8" t="n"/>
      <c r="I19" s="8" t="n"/>
      <c r="J19" s="8" t="n"/>
      <c r="K19" s="8" t="n"/>
      <c r="L19" s="10">
        <f>IF(COUNT(J19:K19)=2,(J19*Parametros!$B$3+K19*Parametros!$B$4)/1000000*Parametros!$B$5,"")</f>
        <v/>
      </c>
      <c r="M19" s="8" t="n"/>
      <c r="N19" s="8" t="n"/>
      <c r="O19" s="8" t="n"/>
      <c r="P19" s="8" t="n"/>
      <c r="Q19" s="8" t="n"/>
      <c r="R19" s="9">
        <f>IF(COUNT(M19:Q19)=5,SUM(M19:Q19),"")</f>
        <v/>
      </c>
      <c r="S19" s="8" t="n"/>
      <c r="T19" s="8" t="n"/>
      <c r="U19" s="8" t="n"/>
      <c r="V19" s="11">
        <f>IF(AND(ISNUMBER(T19),T19&gt;0),U19/T19,"")</f>
        <v/>
      </c>
      <c r="W19" s="8" t="n"/>
    </row>
    <row r="20">
      <c r="A20" s="7" t="n">
        <v>19</v>
      </c>
      <c r="B20" s="7" t="inlineStr">
        <is>
          <t>Jus IA</t>
        </is>
      </c>
      <c r="C20" s="9">
        <f>INDEX(Perguntas!$B$2:$B$26,MATCH(A20,Perguntas!$A$2:$A$26,0))</f>
        <v/>
      </c>
      <c r="D20" s="9">
        <f>INDEX(Perguntas!$C$2:$C$26,MATCH(A20,Perguntas!$A$2:$A$26,0))</f>
        <v/>
      </c>
      <c r="E20" s="8" t="n"/>
      <c r="F20" s="8" t="n"/>
      <c r="G20" s="8" t="n"/>
      <c r="H20" s="8" t="n"/>
      <c r="I20" s="8" t="n"/>
      <c r="J20" s="8" t="n"/>
      <c r="K20" s="8" t="n"/>
      <c r="L20" s="10">
        <f>IF(COUNT(J20:K20)=2,(J20*Parametros!$B$3+K20*Parametros!$B$4)/1000000*Parametros!$B$5,"")</f>
        <v/>
      </c>
      <c r="M20" s="8" t="n"/>
      <c r="N20" s="8" t="n"/>
      <c r="O20" s="8" t="n"/>
      <c r="P20" s="8" t="n"/>
      <c r="Q20" s="8" t="n"/>
      <c r="R20" s="9">
        <f>IF(COUNT(M20:Q20)=5,SUM(M20:Q20),"")</f>
        <v/>
      </c>
      <c r="S20" s="8" t="n"/>
      <c r="T20" s="8" t="n"/>
      <c r="U20" s="8" t="n"/>
      <c r="V20" s="11">
        <f>IF(AND(ISNUMBER(T20),T20&gt;0),U20/T20,"")</f>
        <v/>
      </c>
      <c r="W20" s="8" t="n"/>
    </row>
    <row r="21">
      <c r="A21" s="7" t="n">
        <v>20</v>
      </c>
      <c r="B21" s="7" t="inlineStr">
        <is>
          <t>Jus IA</t>
        </is>
      </c>
      <c r="C21" s="9">
        <f>INDEX(Perguntas!$B$2:$B$26,MATCH(A21,Perguntas!$A$2:$A$26,0))</f>
        <v/>
      </c>
      <c r="D21" s="9">
        <f>INDEX(Perguntas!$C$2:$C$26,MATCH(A21,Perguntas!$A$2:$A$26,0))</f>
        <v/>
      </c>
      <c r="E21" s="8" t="n"/>
      <c r="F21" s="8" t="n"/>
      <c r="G21" s="8" t="n"/>
      <c r="H21" s="8" t="n"/>
      <c r="I21" s="8" t="n"/>
      <c r="J21" s="8" t="n"/>
      <c r="K21" s="8" t="n"/>
      <c r="L21" s="10">
        <f>IF(COUNT(J21:K21)=2,(J21*Parametros!$B$3+K21*Parametros!$B$4)/1000000*Parametros!$B$5,"")</f>
        <v/>
      </c>
      <c r="M21" s="8" t="n"/>
      <c r="N21" s="8" t="n"/>
      <c r="O21" s="8" t="n"/>
      <c r="P21" s="8" t="n"/>
      <c r="Q21" s="8" t="n"/>
      <c r="R21" s="9">
        <f>IF(COUNT(M21:Q21)=5,SUM(M21:Q21),"")</f>
        <v/>
      </c>
      <c r="S21" s="8" t="n"/>
      <c r="T21" s="8" t="n"/>
      <c r="U21" s="8" t="n"/>
      <c r="V21" s="11">
        <f>IF(AND(ISNUMBER(T21),T21&gt;0),U21/T21,"")</f>
        <v/>
      </c>
      <c r="W21" s="8" t="n"/>
    </row>
    <row r="22">
      <c r="A22" s="7" t="n">
        <v>21</v>
      </c>
      <c r="B22" s="7" t="inlineStr">
        <is>
          <t>Jus IA</t>
        </is>
      </c>
      <c r="C22" s="9">
        <f>INDEX(Perguntas!$B$2:$B$26,MATCH(A22,Perguntas!$A$2:$A$26,0))</f>
        <v/>
      </c>
      <c r="D22" s="9">
        <f>INDEX(Perguntas!$C$2:$C$26,MATCH(A22,Perguntas!$A$2:$A$26,0))</f>
        <v/>
      </c>
      <c r="E22" s="8" t="n"/>
      <c r="F22" s="8" t="n"/>
      <c r="G22" s="8" t="n"/>
      <c r="H22" s="8" t="n"/>
      <c r="I22" s="8" t="n"/>
      <c r="J22" s="8" t="n"/>
      <c r="K22" s="8" t="n"/>
      <c r="L22" s="10">
        <f>IF(COUNT(J22:K22)=2,(J22*Parametros!$B$3+K22*Parametros!$B$4)/1000000*Parametros!$B$5,"")</f>
        <v/>
      </c>
      <c r="M22" s="8" t="n"/>
      <c r="N22" s="8" t="n"/>
      <c r="O22" s="8" t="n"/>
      <c r="P22" s="8" t="n"/>
      <c r="Q22" s="8" t="n"/>
      <c r="R22" s="9">
        <f>IF(COUNT(M22:Q22)=5,SUM(M22:Q22),"")</f>
        <v/>
      </c>
      <c r="S22" s="8" t="n"/>
      <c r="T22" s="8" t="n"/>
      <c r="U22" s="8" t="n"/>
      <c r="V22" s="11">
        <f>IF(AND(ISNUMBER(T22),T22&gt;0),U22/T22,"")</f>
        <v/>
      </c>
      <c r="W22" s="8" t="n"/>
    </row>
    <row r="23">
      <c r="A23" s="7" t="n">
        <v>22</v>
      </c>
      <c r="B23" s="7" t="inlineStr">
        <is>
          <t>Jus IA</t>
        </is>
      </c>
      <c r="C23" s="9">
        <f>INDEX(Perguntas!$B$2:$B$26,MATCH(A23,Perguntas!$A$2:$A$26,0))</f>
        <v/>
      </c>
      <c r="D23" s="9">
        <f>INDEX(Perguntas!$C$2:$C$26,MATCH(A23,Perguntas!$A$2:$A$26,0))</f>
        <v/>
      </c>
      <c r="E23" s="8" t="n"/>
      <c r="F23" s="8" t="n"/>
      <c r="G23" s="8" t="n"/>
      <c r="H23" s="8" t="n"/>
      <c r="I23" s="8" t="n"/>
      <c r="J23" s="8" t="n"/>
      <c r="K23" s="8" t="n"/>
      <c r="L23" s="10">
        <f>IF(COUNT(J23:K23)=2,(J23*Parametros!$B$3+K23*Parametros!$B$4)/1000000*Parametros!$B$5,"")</f>
        <v/>
      </c>
      <c r="M23" s="8" t="n"/>
      <c r="N23" s="8" t="n"/>
      <c r="O23" s="8" t="n"/>
      <c r="P23" s="8" t="n"/>
      <c r="Q23" s="8" t="n"/>
      <c r="R23" s="9">
        <f>IF(COUNT(M23:Q23)=5,SUM(M23:Q23),"")</f>
        <v/>
      </c>
      <c r="S23" s="8" t="n"/>
      <c r="T23" s="8" t="n"/>
      <c r="U23" s="8" t="n"/>
      <c r="V23" s="11">
        <f>IF(AND(ISNUMBER(T23),T23&gt;0),U23/T23,"")</f>
        <v/>
      </c>
      <c r="W23" s="8" t="n"/>
    </row>
    <row r="24">
      <c r="A24" s="7" t="n">
        <v>23</v>
      </c>
      <c r="B24" s="7" t="inlineStr">
        <is>
          <t>Jus IA</t>
        </is>
      </c>
      <c r="C24" s="9">
        <f>INDEX(Perguntas!$B$2:$B$26,MATCH(A24,Perguntas!$A$2:$A$26,0))</f>
        <v/>
      </c>
      <c r="D24" s="9">
        <f>INDEX(Perguntas!$C$2:$C$26,MATCH(A24,Perguntas!$A$2:$A$26,0))</f>
        <v/>
      </c>
      <c r="E24" s="8" t="n"/>
      <c r="F24" s="8" t="n"/>
      <c r="G24" s="8" t="n"/>
      <c r="H24" s="8" t="n"/>
      <c r="I24" s="8" t="n"/>
      <c r="J24" s="8" t="n"/>
      <c r="K24" s="8" t="n"/>
      <c r="L24" s="10">
        <f>IF(COUNT(J24:K24)=2,(J24*Parametros!$B$3+K24*Parametros!$B$4)/1000000*Parametros!$B$5,"")</f>
        <v/>
      </c>
      <c r="M24" s="8" t="n"/>
      <c r="N24" s="8" t="n"/>
      <c r="O24" s="8" t="n"/>
      <c r="P24" s="8" t="n"/>
      <c r="Q24" s="8" t="n"/>
      <c r="R24" s="9">
        <f>IF(COUNT(M24:Q24)=5,SUM(M24:Q24),"")</f>
        <v/>
      </c>
      <c r="S24" s="8" t="n"/>
      <c r="T24" s="8" t="n"/>
      <c r="U24" s="8" t="n"/>
      <c r="V24" s="11">
        <f>IF(AND(ISNUMBER(T24),T24&gt;0),U24/T24,"")</f>
        <v/>
      </c>
      <c r="W24" s="8" t="n"/>
    </row>
    <row r="25">
      <c r="A25" s="7" t="n">
        <v>24</v>
      </c>
      <c r="B25" s="7" t="inlineStr">
        <is>
          <t>Jus IA</t>
        </is>
      </c>
      <c r="C25" s="9">
        <f>INDEX(Perguntas!$B$2:$B$26,MATCH(A25,Perguntas!$A$2:$A$26,0))</f>
        <v/>
      </c>
      <c r="D25" s="9">
        <f>INDEX(Perguntas!$C$2:$C$26,MATCH(A25,Perguntas!$A$2:$A$26,0))</f>
        <v/>
      </c>
      <c r="E25" s="8" t="n"/>
      <c r="F25" s="8" t="n"/>
      <c r="G25" s="8" t="n"/>
      <c r="H25" s="8" t="n"/>
      <c r="I25" s="8" t="n"/>
      <c r="J25" s="8" t="n"/>
      <c r="K25" s="8" t="n"/>
      <c r="L25" s="10">
        <f>IF(COUNT(J25:K25)=2,(J25*Parametros!$B$3+K25*Parametros!$B$4)/1000000*Parametros!$B$5,"")</f>
        <v/>
      </c>
      <c r="M25" s="8" t="n"/>
      <c r="N25" s="8" t="n"/>
      <c r="O25" s="8" t="n"/>
      <c r="P25" s="8" t="n"/>
      <c r="Q25" s="8" t="n"/>
      <c r="R25" s="9">
        <f>IF(COUNT(M25:Q25)=5,SUM(M25:Q25),"")</f>
        <v/>
      </c>
      <c r="S25" s="8" t="n"/>
      <c r="T25" s="8" t="n"/>
      <c r="U25" s="8" t="n"/>
      <c r="V25" s="11">
        <f>IF(AND(ISNUMBER(T25),T25&gt;0),U25/T25,"")</f>
        <v/>
      </c>
      <c r="W25" s="8" t="n"/>
    </row>
    <row r="26">
      <c r="A26" s="7" t="n">
        <v>25</v>
      </c>
      <c r="B26" s="7" t="inlineStr">
        <is>
          <t>Jus IA</t>
        </is>
      </c>
      <c r="C26" s="9">
        <f>INDEX(Perguntas!$B$2:$B$26,MATCH(A26,Perguntas!$A$2:$A$26,0))</f>
        <v/>
      </c>
      <c r="D26" s="9">
        <f>INDEX(Perguntas!$C$2:$C$26,MATCH(A26,Perguntas!$A$2:$A$26,0))</f>
        <v/>
      </c>
      <c r="E26" s="8" t="n"/>
      <c r="F26" s="8" t="n"/>
      <c r="G26" s="8" t="n"/>
      <c r="H26" s="8" t="n"/>
      <c r="I26" s="8" t="n"/>
      <c r="J26" s="8" t="n"/>
      <c r="K26" s="8" t="n"/>
      <c r="L26" s="10">
        <f>IF(COUNT(J26:K26)=2,(J26*Parametros!$B$3+K26*Parametros!$B$4)/1000000*Parametros!$B$5,"")</f>
        <v/>
      </c>
      <c r="M26" s="8" t="n"/>
      <c r="N26" s="8" t="n"/>
      <c r="O26" s="8" t="n"/>
      <c r="P26" s="8" t="n"/>
      <c r="Q26" s="8" t="n"/>
      <c r="R26" s="9">
        <f>IF(COUNT(M26:Q26)=5,SUM(M26:Q26),"")</f>
        <v/>
      </c>
      <c r="S26" s="8" t="n"/>
      <c r="T26" s="8" t="n"/>
      <c r="U26" s="8" t="n"/>
      <c r="V26" s="11">
        <f>IF(AND(ISNUMBER(T26),T26&gt;0),U26/T26,"")</f>
        <v/>
      </c>
      <c r="W26" s="8" t="n"/>
    </row>
    <row r="27">
      <c r="A27" s="7" t="n">
        <v>1</v>
      </c>
      <c r="B27" s="7" t="inlineStr">
        <is>
          <t>Jurídico AI</t>
        </is>
      </c>
      <c r="C27" s="9">
        <f>INDEX(Perguntas!$B$2:$B$26,MATCH(A27,Perguntas!$A$2:$A$26,0))</f>
        <v/>
      </c>
      <c r="D27" s="9">
        <f>INDEX(Perguntas!$C$2:$C$26,MATCH(A27,Perguntas!$A$2:$A$26,0))</f>
        <v/>
      </c>
      <c r="E27" s="8" t="n"/>
      <c r="F27" s="8" t="n"/>
      <c r="G27" s="8" t="n"/>
      <c r="H27" s="8" t="n"/>
      <c r="I27" s="8" t="n"/>
      <c r="J27" s="8" t="n"/>
      <c r="K27" s="8" t="n"/>
      <c r="L27" s="10">
        <f>IF(COUNT(J27:K27)=2,(J27*Parametros!$B$3+K27*Parametros!$B$4)/1000000*Parametros!$B$5,"")</f>
        <v/>
      </c>
      <c r="M27" s="8" t="n"/>
      <c r="N27" s="8" t="n"/>
      <c r="O27" s="8" t="n"/>
      <c r="P27" s="8" t="n"/>
      <c r="Q27" s="8" t="n"/>
      <c r="R27" s="9">
        <f>IF(COUNT(M27:Q27)=5,SUM(M27:Q27),"")</f>
        <v/>
      </c>
      <c r="S27" s="8" t="n"/>
      <c r="T27" s="8" t="n"/>
      <c r="U27" s="8" t="n"/>
      <c r="V27" s="11">
        <f>IF(AND(ISNUMBER(T27),T27&gt;0),U27/T27,"")</f>
        <v/>
      </c>
      <c r="W27" s="8" t="n"/>
    </row>
    <row r="28">
      <c r="A28" s="7" t="n">
        <v>2</v>
      </c>
      <c r="B28" s="7" t="inlineStr">
        <is>
          <t>Jurídico AI</t>
        </is>
      </c>
      <c r="C28" s="9">
        <f>INDEX(Perguntas!$B$2:$B$26,MATCH(A28,Perguntas!$A$2:$A$26,0))</f>
        <v/>
      </c>
      <c r="D28" s="9">
        <f>INDEX(Perguntas!$C$2:$C$26,MATCH(A28,Perguntas!$A$2:$A$26,0))</f>
        <v/>
      </c>
      <c r="E28" s="8" t="n"/>
      <c r="F28" s="8" t="n"/>
      <c r="G28" s="8" t="n"/>
      <c r="H28" s="8" t="n"/>
      <c r="I28" s="8" t="n"/>
      <c r="J28" s="8" t="n"/>
      <c r="K28" s="8" t="n"/>
      <c r="L28" s="10">
        <f>IF(COUNT(J28:K28)=2,(J28*Parametros!$B$3+K28*Parametros!$B$4)/1000000*Parametros!$B$5,"")</f>
        <v/>
      </c>
      <c r="M28" s="8" t="n"/>
      <c r="N28" s="8" t="n"/>
      <c r="O28" s="8" t="n"/>
      <c r="P28" s="8" t="n"/>
      <c r="Q28" s="8" t="n"/>
      <c r="R28" s="9">
        <f>IF(COUNT(M28:Q28)=5,SUM(M28:Q28),"")</f>
        <v/>
      </c>
      <c r="S28" s="8" t="n"/>
      <c r="T28" s="8" t="n"/>
      <c r="U28" s="8" t="n"/>
      <c r="V28" s="11">
        <f>IF(AND(ISNUMBER(T28),T28&gt;0),U28/T28,"")</f>
        <v/>
      </c>
      <c r="W28" s="8" t="n"/>
    </row>
    <row r="29">
      <c r="A29" s="7" t="n">
        <v>3</v>
      </c>
      <c r="B29" s="7" t="inlineStr">
        <is>
          <t>Jurídico AI</t>
        </is>
      </c>
      <c r="C29" s="9">
        <f>INDEX(Perguntas!$B$2:$B$26,MATCH(A29,Perguntas!$A$2:$A$26,0))</f>
        <v/>
      </c>
      <c r="D29" s="9">
        <f>INDEX(Perguntas!$C$2:$C$26,MATCH(A29,Perguntas!$A$2:$A$26,0))</f>
        <v/>
      </c>
      <c r="E29" s="8" t="n"/>
      <c r="F29" s="8" t="n"/>
      <c r="G29" s="8" t="n"/>
      <c r="H29" s="8" t="n"/>
      <c r="I29" s="8" t="n"/>
      <c r="J29" s="8" t="n"/>
      <c r="K29" s="8" t="n"/>
      <c r="L29" s="10">
        <f>IF(COUNT(J29:K29)=2,(J29*Parametros!$B$3+K29*Parametros!$B$4)/1000000*Parametros!$B$5,"")</f>
        <v/>
      </c>
      <c r="M29" s="8" t="n"/>
      <c r="N29" s="8" t="n"/>
      <c r="O29" s="8" t="n"/>
      <c r="P29" s="8" t="n"/>
      <c r="Q29" s="8" t="n"/>
      <c r="R29" s="9">
        <f>IF(COUNT(M29:Q29)=5,SUM(M29:Q29),"")</f>
        <v/>
      </c>
      <c r="S29" s="8" t="n"/>
      <c r="T29" s="8" t="n"/>
      <c r="U29" s="8" t="n"/>
      <c r="V29" s="11">
        <f>IF(AND(ISNUMBER(T29),T29&gt;0),U29/T29,"")</f>
        <v/>
      </c>
      <c r="W29" s="8" t="n"/>
    </row>
    <row r="30">
      <c r="A30" s="7" t="n">
        <v>4</v>
      </c>
      <c r="B30" s="7" t="inlineStr">
        <is>
          <t>Jurídico AI</t>
        </is>
      </c>
      <c r="C30" s="9">
        <f>INDEX(Perguntas!$B$2:$B$26,MATCH(A30,Perguntas!$A$2:$A$26,0))</f>
        <v/>
      </c>
      <c r="D30" s="9">
        <f>INDEX(Perguntas!$C$2:$C$26,MATCH(A30,Perguntas!$A$2:$A$26,0))</f>
        <v/>
      </c>
      <c r="E30" s="8" t="n"/>
      <c r="F30" s="8" t="n"/>
      <c r="G30" s="8" t="n"/>
      <c r="H30" s="8" t="n"/>
      <c r="I30" s="8" t="n"/>
      <c r="J30" s="8" t="n"/>
      <c r="K30" s="8" t="n"/>
      <c r="L30" s="10">
        <f>IF(COUNT(J30:K30)=2,(J30*Parametros!$B$3+K30*Parametros!$B$4)/1000000*Parametros!$B$5,"")</f>
        <v/>
      </c>
      <c r="M30" s="8" t="n"/>
      <c r="N30" s="8" t="n"/>
      <c r="O30" s="8" t="n"/>
      <c r="P30" s="8" t="n"/>
      <c r="Q30" s="8" t="n"/>
      <c r="R30" s="9">
        <f>IF(COUNT(M30:Q30)=5,SUM(M30:Q30),"")</f>
        <v/>
      </c>
      <c r="S30" s="8" t="n"/>
      <c r="T30" s="8" t="n"/>
      <c r="U30" s="8" t="n"/>
      <c r="V30" s="11">
        <f>IF(AND(ISNUMBER(T30),T30&gt;0),U30/T30,"")</f>
        <v/>
      </c>
      <c r="W30" s="8" t="n"/>
    </row>
    <row r="31">
      <c r="A31" s="7" t="n">
        <v>5</v>
      </c>
      <c r="B31" s="7" t="inlineStr">
        <is>
          <t>Jurídico AI</t>
        </is>
      </c>
      <c r="C31" s="9">
        <f>INDEX(Perguntas!$B$2:$B$26,MATCH(A31,Perguntas!$A$2:$A$26,0))</f>
        <v/>
      </c>
      <c r="D31" s="9">
        <f>INDEX(Perguntas!$C$2:$C$26,MATCH(A31,Perguntas!$A$2:$A$26,0))</f>
        <v/>
      </c>
      <c r="E31" s="8" t="n"/>
      <c r="F31" s="8" t="n"/>
      <c r="G31" s="8" t="n"/>
      <c r="H31" s="8" t="n"/>
      <c r="I31" s="8" t="n"/>
      <c r="J31" s="8" t="n"/>
      <c r="K31" s="8" t="n"/>
      <c r="L31" s="10">
        <f>IF(COUNT(J31:K31)=2,(J31*Parametros!$B$3+K31*Parametros!$B$4)/1000000*Parametros!$B$5,"")</f>
        <v/>
      </c>
      <c r="M31" s="8" t="n"/>
      <c r="N31" s="8" t="n"/>
      <c r="O31" s="8" t="n"/>
      <c r="P31" s="8" t="n"/>
      <c r="Q31" s="8" t="n"/>
      <c r="R31" s="9">
        <f>IF(COUNT(M31:Q31)=5,SUM(M31:Q31),"")</f>
        <v/>
      </c>
      <c r="S31" s="8" t="n"/>
      <c r="T31" s="8" t="n"/>
      <c r="U31" s="8" t="n"/>
      <c r="V31" s="11">
        <f>IF(AND(ISNUMBER(T31),T31&gt;0),U31/T31,"")</f>
        <v/>
      </c>
      <c r="W31" s="8" t="n"/>
    </row>
    <row r="32">
      <c r="A32" s="7" t="n">
        <v>6</v>
      </c>
      <c r="B32" s="7" t="inlineStr">
        <is>
          <t>Jurídico AI</t>
        </is>
      </c>
      <c r="C32" s="9">
        <f>INDEX(Perguntas!$B$2:$B$26,MATCH(A32,Perguntas!$A$2:$A$26,0))</f>
        <v/>
      </c>
      <c r="D32" s="9">
        <f>INDEX(Perguntas!$C$2:$C$26,MATCH(A32,Perguntas!$A$2:$A$26,0))</f>
        <v/>
      </c>
      <c r="E32" s="8" t="n"/>
      <c r="F32" s="8" t="n"/>
      <c r="G32" s="8" t="n"/>
      <c r="H32" s="8" t="n"/>
      <c r="I32" s="8" t="n"/>
      <c r="J32" s="8" t="n"/>
      <c r="K32" s="8" t="n"/>
      <c r="L32" s="10">
        <f>IF(COUNT(J32:K32)=2,(J32*Parametros!$B$3+K32*Parametros!$B$4)/1000000*Parametros!$B$5,"")</f>
        <v/>
      </c>
      <c r="M32" s="8" t="n"/>
      <c r="N32" s="8" t="n"/>
      <c r="O32" s="8" t="n"/>
      <c r="P32" s="8" t="n"/>
      <c r="Q32" s="8" t="n"/>
      <c r="R32" s="9">
        <f>IF(COUNT(M32:Q32)=5,SUM(M32:Q32),"")</f>
        <v/>
      </c>
      <c r="S32" s="8" t="n"/>
      <c r="T32" s="8" t="n"/>
      <c r="U32" s="8" t="n"/>
      <c r="V32" s="11">
        <f>IF(AND(ISNUMBER(T32),T32&gt;0),U32/T32,"")</f>
        <v/>
      </c>
      <c r="W32" s="8" t="n"/>
    </row>
    <row r="33">
      <c r="A33" s="7" t="n">
        <v>7</v>
      </c>
      <c r="B33" s="7" t="inlineStr">
        <is>
          <t>Jurídico AI</t>
        </is>
      </c>
      <c r="C33" s="9">
        <f>INDEX(Perguntas!$B$2:$B$26,MATCH(A33,Perguntas!$A$2:$A$26,0))</f>
        <v/>
      </c>
      <c r="D33" s="9">
        <f>INDEX(Perguntas!$C$2:$C$26,MATCH(A33,Perguntas!$A$2:$A$26,0))</f>
        <v/>
      </c>
      <c r="E33" s="8" t="n"/>
      <c r="F33" s="8" t="n"/>
      <c r="G33" s="8" t="n"/>
      <c r="H33" s="8" t="n"/>
      <c r="I33" s="8" t="n"/>
      <c r="J33" s="8" t="n"/>
      <c r="K33" s="8" t="n"/>
      <c r="L33" s="10">
        <f>IF(COUNT(J33:K33)=2,(J33*Parametros!$B$3+K33*Parametros!$B$4)/1000000*Parametros!$B$5,"")</f>
        <v/>
      </c>
      <c r="M33" s="8" t="n"/>
      <c r="N33" s="8" t="n"/>
      <c r="O33" s="8" t="n"/>
      <c r="P33" s="8" t="n"/>
      <c r="Q33" s="8" t="n"/>
      <c r="R33" s="9">
        <f>IF(COUNT(M33:Q33)=5,SUM(M33:Q33),"")</f>
        <v/>
      </c>
      <c r="S33" s="8" t="n"/>
      <c r="T33" s="8" t="n"/>
      <c r="U33" s="8" t="n"/>
      <c r="V33" s="11">
        <f>IF(AND(ISNUMBER(T33),T33&gt;0),U33/T33,"")</f>
        <v/>
      </c>
      <c r="W33" s="8" t="n"/>
    </row>
    <row r="34">
      <c r="A34" s="7" t="n">
        <v>8</v>
      </c>
      <c r="B34" s="7" t="inlineStr">
        <is>
          <t>Jurídico AI</t>
        </is>
      </c>
      <c r="C34" s="9">
        <f>INDEX(Perguntas!$B$2:$B$26,MATCH(A34,Perguntas!$A$2:$A$26,0))</f>
        <v/>
      </c>
      <c r="D34" s="9">
        <f>INDEX(Perguntas!$C$2:$C$26,MATCH(A34,Perguntas!$A$2:$A$26,0))</f>
        <v/>
      </c>
      <c r="E34" s="8" t="n"/>
      <c r="F34" s="8" t="n"/>
      <c r="G34" s="8" t="n"/>
      <c r="H34" s="8" t="n"/>
      <c r="I34" s="8" t="n"/>
      <c r="J34" s="8" t="n"/>
      <c r="K34" s="8" t="n"/>
      <c r="L34" s="10">
        <f>IF(COUNT(J34:K34)=2,(J34*Parametros!$B$3+K34*Parametros!$B$4)/1000000*Parametros!$B$5,"")</f>
        <v/>
      </c>
      <c r="M34" s="8" t="n"/>
      <c r="N34" s="8" t="n"/>
      <c r="O34" s="8" t="n"/>
      <c r="P34" s="8" t="n"/>
      <c r="Q34" s="8" t="n"/>
      <c r="R34" s="9">
        <f>IF(COUNT(M34:Q34)=5,SUM(M34:Q34),"")</f>
        <v/>
      </c>
      <c r="S34" s="8" t="n"/>
      <c r="T34" s="8" t="n"/>
      <c r="U34" s="8" t="n"/>
      <c r="V34" s="11">
        <f>IF(AND(ISNUMBER(T34),T34&gt;0),U34/T34,"")</f>
        <v/>
      </c>
      <c r="W34" s="8" t="n"/>
    </row>
    <row r="35">
      <c r="A35" s="7" t="n">
        <v>9</v>
      </c>
      <c r="B35" s="7" t="inlineStr">
        <is>
          <t>Jurídico AI</t>
        </is>
      </c>
      <c r="C35" s="9">
        <f>INDEX(Perguntas!$B$2:$B$26,MATCH(A35,Perguntas!$A$2:$A$26,0))</f>
        <v/>
      </c>
      <c r="D35" s="9">
        <f>INDEX(Perguntas!$C$2:$C$26,MATCH(A35,Perguntas!$A$2:$A$26,0))</f>
        <v/>
      </c>
      <c r="E35" s="8" t="n"/>
      <c r="F35" s="8" t="n"/>
      <c r="G35" s="8" t="n"/>
      <c r="H35" s="8" t="n"/>
      <c r="I35" s="8" t="n"/>
      <c r="J35" s="8" t="n"/>
      <c r="K35" s="8" t="n"/>
      <c r="L35" s="10">
        <f>IF(COUNT(J35:K35)=2,(J35*Parametros!$B$3+K35*Parametros!$B$4)/1000000*Parametros!$B$5,"")</f>
        <v/>
      </c>
      <c r="M35" s="8" t="n"/>
      <c r="N35" s="8" t="n"/>
      <c r="O35" s="8" t="n"/>
      <c r="P35" s="8" t="n"/>
      <c r="Q35" s="8" t="n"/>
      <c r="R35" s="9">
        <f>IF(COUNT(M35:Q35)=5,SUM(M35:Q35),"")</f>
        <v/>
      </c>
      <c r="S35" s="8" t="n"/>
      <c r="T35" s="8" t="n"/>
      <c r="U35" s="8" t="n"/>
      <c r="V35" s="11">
        <f>IF(AND(ISNUMBER(T35),T35&gt;0),U35/T35,"")</f>
        <v/>
      </c>
      <c r="W35" s="8" t="n"/>
    </row>
    <row r="36">
      <c r="A36" s="7" t="n">
        <v>10</v>
      </c>
      <c r="B36" s="7" t="inlineStr">
        <is>
          <t>Jurídico AI</t>
        </is>
      </c>
      <c r="C36" s="9">
        <f>INDEX(Perguntas!$B$2:$B$26,MATCH(A36,Perguntas!$A$2:$A$26,0))</f>
        <v/>
      </c>
      <c r="D36" s="9">
        <f>INDEX(Perguntas!$C$2:$C$26,MATCH(A36,Perguntas!$A$2:$A$26,0))</f>
        <v/>
      </c>
      <c r="E36" s="8" t="n"/>
      <c r="F36" s="8" t="n"/>
      <c r="G36" s="8" t="n"/>
      <c r="H36" s="8" t="n"/>
      <c r="I36" s="8" t="n"/>
      <c r="J36" s="8" t="n"/>
      <c r="K36" s="8" t="n"/>
      <c r="L36" s="10">
        <f>IF(COUNT(J36:K36)=2,(J36*Parametros!$B$3+K36*Parametros!$B$4)/1000000*Parametros!$B$5,"")</f>
        <v/>
      </c>
      <c r="M36" s="8" t="n"/>
      <c r="N36" s="8" t="n"/>
      <c r="O36" s="8" t="n"/>
      <c r="P36" s="8" t="n"/>
      <c r="Q36" s="8" t="n"/>
      <c r="R36" s="9">
        <f>IF(COUNT(M36:Q36)=5,SUM(M36:Q36),"")</f>
        <v/>
      </c>
      <c r="S36" s="8" t="n"/>
      <c r="T36" s="8" t="n"/>
      <c r="U36" s="8" t="n"/>
      <c r="V36" s="11">
        <f>IF(AND(ISNUMBER(T36),T36&gt;0),U36/T36,"")</f>
        <v/>
      </c>
      <c r="W36" s="8" t="n"/>
    </row>
    <row r="37">
      <c r="A37" s="7" t="n">
        <v>11</v>
      </c>
      <c r="B37" s="7" t="inlineStr">
        <is>
          <t>Jurídico AI</t>
        </is>
      </c>
      <c r="C37" s="9">
        <f>INDEX(Perguntas!$B$2:$B$26,MATCH(A37,Perguntas!$A$2:$A$26,0))</f>
        <v/>
      </c>
      <c r="D37" s="9">
        <f>INDEX(Perguntas!$C$2:$C$26,MATCH(A37,Perguntas!$A$2:$A$26,0))</f>
        <v/>
      </c>
      <c r="E37" s="8" t="n"/>
      <c r="F37" s="8" t="n"/>
      <c r="G37" s="8" t="n"/>
      <c r="H37" s="8" t="n"/>
      <c r="I37" s="8" t="n"/>
      <c r="J37" s="8" t="n"/>
      <c r="K37" s="8" t="n"/>
      <c r="L37" s="10">
        <f>IF(COUNT(J37:K37)=2,(J37*Parametros!$B$3+K37*Parametros!$B$4)/1000000*Parametros!$B$5,"")</f>
        <v/>
      </c>
      <c r="M37" s="8" t="n"/>
      <c r="N37" s="8" t="n"/>
      <c r="O37" s="8" t="n"/>
      <c r="P37" s="8" t="n"/>
      <c r="Q37" s="8" t="n"/>
      <c r="R37" s="9">
        <f>IF(COUNT(M37:Q37)=5,SUM(M37:Q37),"")</f>
        <v/>
      </c>
      <c r="S37" s="8" t="n"/>
      <c r="T37" s="8" t="n"/>
      <c r="U37" s="8" t="n"/>
      <c r="V37" s="11">
        <f>IF(AND(ISNUMBER(T37),T37&gt;0),U37/T37,"")</f>
        <v/>
      </c>
      <c r="W37" s="8" t="n"/>
    </row>
    <row r="38">
      <c r="A38" s="7" t="n">
        <v>12</v>
      </c>
      <c r="B38" s="7" t="inlineStr">
        <is>
          <t>Jurídico AI</t>
        </is>
      </c>
      <c r="C38" s="9">
        <f>INDEX(Perguntas!$B$2:$B$26,MATCH(A38,Perguntas!$A$2:$A$26,0))</f>
        <v/>
      </c>
      <c r="D38" s="9">
        <f>INDEX(Perguntas!$C$2:$C$26,MATCH(A38,Perguntas!$A$2:$A$26,0))</f>
        <v/>
      </c>
      <c r="E38" s="8" t="n"/>
      <c r="F38" s="8" t="n"/>
      <c r="G38" s="8" t="n"/>
      <c r="H38" s="8" t="n"/>
      <c r="I38" s="8" t="n"/>
      <c r="J38" s="8" t="n"/>
      <c r="K38" s="8" t="n"/>
      <c r="L38" s="10">
        <f>IF(COUNT(J38:K38)=2,(J38*Parametros!$B$3+K38*Parametros!$B$4)/1000000*Parametros!$B$5,"")</f>
        <v/>
      </c>
      <c r="M38" s="8" t="n"/>
      <c r="N38" s="8" t="n"/>
      <c r="O38" s="8" t="n"/>
      <c r="P38" s="8" t="n"/>
      <c r="Q38" s="8" t="n"/>
      <c r="R38" s="9">
        <f>IF(COUNT(M38:Q38)=5,SUM(M38:Q38),"")</f>
        <v/>
      </c>
      <c r="S38" s="8" t="n"/>
      <c r="T38" s="8" t="n"/>
      <c r="U38" s="8" t="n"/>
      <c r="V38" s="11">
        <f>IF(AND(ISNUMBER(T38),T38&gt;0),U38/T38,"")</f>
        <v/>
      </c>
      <c r="W38" s="8" t="n"/>
    </row>
    <row r="39">
      <c r="A39" s="7" t="n">
        <v>13</v>
      </c>
      <c r="B39" s="7" t="inlineStr">
        <is>
          <t>Jurídico AI</t>
        </is>
      </c>
      <c r="C39" s="9">
        <f>INDEX(Perguntas!$B$2:$B$26,MATCH(A39,Perguntas!$A$2:$A$26,0))</f>
        <v/>
      </c>
      <c r="D39" s="9">
        <f>INDEX(Perguntas!$C$2:$C$26,MATCH(A39,Perguntas!$A$2:$A$26,0))</f>
        <v/>
      </c>
      <c r="E39" s="8" t="n"/>
      <c r="F39" s="8" t="n"/>
      <c r="G39" s="8" t="n"/>
      <c r="H39" s="8" t="n"/>
      <c r="I39" s="8" t="n"/>
      <c r="J39" s="8" t="n"/>
      <c r="K39" s="8" t="n"/>
      <c r="L39" s="10">
        <f>IF(COUNT(J39:K39)=2,(J39*Parametros!$B$3+K39*Parametros!$B$4)/1000000*Parametros!$B$5,"")</f>
        <v/>
      </c>
      <c r="M39" s="8" t="n"/>
      <c r="N39" s="8" t="n"/>
      <c r="O39" s="8" t="n"/>
      <c r="P39" s="8" t="n"/>
      <c r="Q39" s="8" t="n"/>
      <c r="R39" s="9">
        <f>IF(COUNT(M39:Q39)=5,SUM(M39:Q39),"")</f>
        <v/>
      </c>
      <c r="S39" s="8" t="n"/>
      <c r="T39" s="8" t="n"/>
      <c r="U39" s="8" t="n"/>
      <c r="V39" s="11">
        <f>IF(AND(ISNUMBER(T39),T39&gt;0),U39/T39,"")</f>
        <v/>
      </c>
      <c r="W39" s="8" t="n"/>
    </row>
    <row r="40">
      <c r="A40" s="7" t="n">
        <v>14</v>
      </c>
      <c r="B40" s="7" t="inlineStr">
        <is>
          <t>Jurídico AI</t>
        </is>
      </c>
      <c r="C40" s="9">
        <f>INDEX(Perguntas!$B$2:$B$26,MATCH(A40,Perguntas!$A$2:$A$26,0))</f>
        <v/>
      </c>
      <c r="D40" s="9">
        <f>INDEX(Perguntas!$C$2:$C$26,MATCH(A40,Perguntas!$A$2:$A$26,0))</f>
        <v/>
      </c>
      <c r="E40" s="8" t="n"/>
      <c r="F40" s="8" t="n"/>
      <c r="G40" s="8" t="n"/>
      <c r="H40" s="8" t="n"/>
      <c r="I40" s="8" t="n"/>
      <c r="J40" s="8" t="n"/>
      <c r="K40" s="8" t="n"/>
      <c r="L40" s="10">
        <f>IF(COUNT(J40:K40)=2,(J40*Parametros!$B$3+K40*Parametros!$B$4)/1000000*Parametros!$B$5,"")</f>
        <v/>
      </c>
      <c r="M40" s="8" t="n"/>
      <c r="N40" s="8" t="n"/>
      <c r="O40" s="8" t="n"/>
      <c r="P40" s="8" t="n"/>
      <c r="Q40" s="8" t="n"/>
      <c r="R40" s="9">
        <f>IF(COUNT(M40:Q40)=5,SUM(M40:Q40),"")</f>
        <v/>
      </c>
      <c r="S40" s="8" t="n"/>
      <c r="T40" s="8" t="n"/>
      <c r="U40" s="8" t="n"/>
      <c r="V40" s="11">
        <f>IF(AND(ISNUMBER(T40),T40&gt;0),U40/T40,"")</f>
        <v/>
      </c>
      <c r="W40" s="8" t="n"/>
    </row>
    <row r="41">
      <c r="A41" s="7" t="n">
        <v>15</v>
      </c>
      <c r="B41" s="7" t="inlineStr">
        <is>
          <t>Jurídico AI</t>
        </is>
      </c>
      <c r="C41" s="9">
        <f>INDEX(Perguntas!$B$2:$B$26,MATCH(A41,Perguntas!$A$2:$A$26,0))</f>
        <v/>
      </c>
      <c r="D41" s="9">
        <f>INDEX(Perguntas!$C$2:$C$26,MATCH(A41,Perguntas!$A$2:$A$26,0))</f>
        <v/>
      </c>
      <c r="E41" s="8" t="n"/>
      <c r="F41" s="8" t="n"/>
      <c r="G41" s="8" t="n"/>
      <c r="H41" s="8" t="n"/>
      <c r="I41" s="8" t="n"/>
      <c r="J41" s="8" t="n"/>
      <c r="K41" s="8" t="n"/>
      <c r="L41" s="10">
        <f>IF(COUNT(J41:K41)=2,(J41*Parametros!$B$3+K41*Parametros!$B$4)/1000000*Parametros!$B$5,"")</f>
        <v/>
      </c>
      <c r="M41" s="8" t="n"/>
      <c r="N41" s="8" t="n"/>
      <c r="O41" s="8" t="n"/>
      <c r="P41" s="8" t="n"/>
      <c r="Q41" s="8" t="n"/>
      <c r="R41" s="9">
        <f>IF(COUNT(M41:Q41)=5,SUM(M41:Q41),"")</f>
        <v/>
      </c>
      <c r="S41" s="8" t="n"/>
      <c r="T41" s="8" t="n"/>
      <c r="U41" s="8" t="n"/>
      <c r="V41" s="11">
        <f>IF(AND(ISNUMBER(T41),T41&gt;0),U41/T41,"")</f>
        <v/>
      </c>
      <c r="W41" s="8" t="n"/>
    </row>
    <row r="42">
      <c r="A42" s="7" t="n">
        <v>16</v>
      </c>
      <c r="B42" s="7" t="inlineStr">
        <is>
          <t>Jurídico AI</t>
        </is>
      </c>
      <c r="C42" s="9">
        <f>INDEX(Perguntas!$B$2:$B$26,MATCH(A42,Perguntas!$A$2:$A$26,0))</f>
        <v/>
      </c>
      <c r="D42" s="9">
        <f>INDEX(Perguntas!$C$2:$C$26,MATCH(A42,Perguntas!$A$2:$A$26,0))</f>
        <v/>
      </c>
      <c r="E42" s="8" t="n"/>
      <c r="F42" s="8" t="n"/>
      <c r="G42" s="8" t="n"/>
      <c r="H42" s="8" t="n"/>
      <c r="I42" s="8" t="n"/>
      <c r="J42" s="8" t="n"/>
      <c r="K42" s="8" t="n"/>
      <c r="L42" s="10">
        <f>IF(COUNT(J42:K42)=2,(J42*Parametros!$B$3+K42*Parametros!$B$4)/1000000*Parametros!$B$5,"")</f>
        <v/>
      </c>
      <c r="M42" s="8" t="n"/>
      <c r="N42" s="8" t="n"/>
      <c r="O42" s="8" t="n"/>
      <c r="P42" s="8" t="n"/>
      <c r="Q42" s="8" t="n"/>
      <c r="R42" s="9">
        <f>IF(COUNT(M42:Q42)=5,SUM(M42:Q42),"")</f>
        <v/>
      </c>
      <c r="S42" s="8" t="n"/>
      <c r="T42" s="8" t="n"/>
      <c r="U42" s="8" t="n"/>
      <c r="V42" s="11">
        <f>IF(AND(ISNUMBER(T42),T42&gt;0),U42/T42,"")</f>
        <v/>
      </c>
      <c r="W42" s="8" t="n"/>
    </row>
    <row r="43">
      <c r="A43" s="7" t="n">
        <v>17</v>
      </c>
      <c r="B43" s="7" t="inlineStr">
        <is>
          <t>Jurídico AI</t>
        </is>
      </c>
      <c r="C43" s="9">
        <f>INDEX(Perguntas!$B$2:$B$26,MATCH(A43,Perguntas!$A$2:$A$26,0))</f>
        <v/>
      </c>
      <c r="D43" s="9">
        <f>INDEX(Perguntas!$C$2:$C$26,MATCH(A43,Perguntas!$A$2:$A$26,0))</f>
        <v/>
      </c>
      <c r="E43" s="8" t="n"/>
      <c r="F43" s="8" t="n"/>
      <c r="G43" s="8" t="n"/>
      <c r="H43" s="8" t="n"/>
      <c r="I43" s="8" t="n"/>
      <c r="J43" s="8" t="n"/>
      <c r="K43" s="8" t="n"/>
      <c r="L43" s="10">
        <f>IF(COUNT(J43:K43)=2,(J43*Parametros!$B$3+K43*Parametros!$B$4)/1000000*Parametros!$B$5,"")</f>
        <v/>
      </c>
      <c r="M43" s="8" t="n"/>
      <c r="N43" s="8" t="n"/>
      <c r="O43" s="8" t="n"/>
      <c r="P43" s="8" t="n"/>
      <c r="Q43" s="8" t="n"/>
      <c r="R43" s="9">
        <f>IF(COUNT(M43:Q43)=5,SUM(M43:Q43),"")</f>
        <v/>
      </c>
      <c r="S43" s="8" t="n"/>
      <c r="T43" s="8" t="n"/>
      <c r="U43" s="8" t="n"/>
      <c r="V43" s="11">
        <f>IF(AND(ISNUMBER(T43),T43&gt;0),U43/T43,"")</f>
        <v/>
      </c>
      <c r="W43" s="8" t="n"/>
    </row>
    <row r="44">
      <c r="A44" s="7" t="n">
        <v>18</v>
      </c>
      <c r="B44" s="7" t="inlineStr">
        <is>
          <t>Jurídico AI</t>
        </is>
      </c>
      <c r="C44" s="9">
        <f>INDEX(Perguntas!$B$2:$B$26,MATCH(A44,Perguntas!$A$2:$A$26,0))</f>
        <v/>
      </c>
      <c r="D44" s="9">
        <f>INDEX(Perguntas!$C$2:$C$26,MATCH(A44,Perguntas!$A$2:$A$26,0))</f>
        <v/>
      </c>
      <c r="E44" s="8" t="n"/>
      <c r="F44" s="8" t="n"/>
      <c r="G44" s="8" t="n"/>
      <c r="H44" s="8" t="n"/>
      <c r="I44" s="8" t="n"/>
      <c r="J44" s="8" t="n"/>
      <c r="K44" s="8" t="n"/>
      <c r="L44" s="10">
        <f>IF(COUNT(J44:K44)=2,(J44*Parametros!$B$3+K44*Parametros!$B$4)/1000000*Parametros!$B$5,"")</f>
        <v/>
      </c>
      <c r="M44" s="8" t="n"/>
      <c r="N44" s="8" t="n"/>
      <c r="O44" s="8" t="n"/>
      <c r="P44" s="8" t="n"/>
      <c r="Q44" s="8" t="n"/>
      <c r="R44" s="9">
        <f>IF(COUNT(M44:Q44)=5,SUM(M44:Q44),"")</f>
        <v/>
      </c>
      <c r="S44" s="8" t="n"/>
      <c r="T44" s="8" t="n"/>
      <c r="U44" s="8" t="n"/>
      <c r="V44" s="11">
        <f>IF(AND(ISNUMBER(T44),T44&gt;0),U44/T44,"")</f>
        <v/>
      </c>
      <c r="W44" s="8" t="n"/>
    </row>
    <row r="45">
      <c r="A45" s="7" t="n">
        <v>19</v>
      </c>
      <c r="B45" s="7" t="inlineStr">
        <is>
          <t>Jurídico AI</t>
        </is>
      </c>
      <c r="C45" s="9">
        <f>INDEX(Perguntas!$B$2:$B$26,MATCH(A45,Perguntas!$A$2:$A$26,0))</f>
        <v/>
      </c>
      <c r="D45" s="9">
        <f>INDEX(Perguntas!$C$2:$C$26,MATCH(A45,Perguntas!$A$2:$A$26,0))</f>
        <v/>
      </c>
      <c r="E45" s="8" t="n"/>
      <c r="F45" s="8" t="n"/>
      <c r="G45" s="8" t="n"/>
      <c r="H45" s="8" t="n"/>
      <c r="I45" s="8" t="n"/>
      <c r="J45" s="8" t="n"/>
      <c r="K45" s="8" t="n"/>
      <c r="L45" s="10">
        <f>IF(COUNT(J45:K45)=2,(J45*Parametros!$B$3+K45*Parametros!$B$4)/1000000*Parametros!$B$5,"")</f>
        <v/>
      </c>
      <c r="M45" s="8" t="n"/>
      <c r="N45" s="8" t="n"/>
      <c r="O45" s="8" t="n"/>
      <c r="P45" s="8" t="n"/>
      <c r="Q45" s="8" t="n"/>
      <c r="R45" s="9">
        <f>IF(COUNT(M45:Q45)=5,SUM(M45:Q45),"")</f>
        <v/>
      </c>
      <c r="S45" s="8" t="n"/>
      <c r="T45" s="8" t="n"/>
      <c r="U45" s="8" t="n"/>
      <c r="V45" s="11">
        <f>IF(AND(ISNUMBER(T45),T45&gt;0),U45/T45,"")</f>
        <v/>
      </c>
      <c r="W45" s="8" t="n"/>
    </row>
    <row r="46">
      <c r="A46" s="7" t="n">
        <v>20</v>
      </c>
      <c r="B46" s="7" t="inlineStr">
        <is>
          <t>Jurídico AI</t>
        </is>
      </c>
      <c r="C46" s="9">
        <f>INDEX(Perguntas!$B$2:$B$26,MATCH(A46,Perguntas!$A$2:$A$26,0))</f>
        <v/>
      </c>
      <c r="D46" s="9">
        <f>INDEX(Perguntas!$C$2:$C$26,MATCH(A46,Perguntas!$A$2:$A$26,0))</f>
        <v/>
      </c>
      <c r="E46" s="8" t="n"/>
      <c r="F46" s="8" t="n"/>
      <c r="G46" s="8" t="n"/>
      <c r="H46" s="8" t="n"/>
      <c r="I46" s="8" t="n"/>
      <c r="J46" s="8" t="n"/>
      <c r="K46" s="8" t="n"/>
      <c r="L46" s="10">
        <f>IF(COUNT(J46:K46)=2,(J46*Parametros!$B$3+K46*Parametros!$B$4)/1000000*Parametros!$B$5,"")</f>
        <v/>
      </c>
      <c r="M46" s="8" t="n"/>
      <c r="N46" s="8" t="n"/>
      <c r="O46" s="8" t="n"/>
      <c r="P46" s="8" t="n"/>
      <c r="Q46" s="8" t="n"/>
      <c r="R46" s="9">
        <f>IF(COUNT(M46:Q46)=5,SUM(M46:Q46),"")</f>
        <v/>
      </c>
      <c r="S46" s="8" t="n"/>
      <c r="T46" s="8" t="n"/>
      <c r="U46" s="8" t="n"/>
      <c r="V46" s="11">
        <f>IF(AND(ISNUMBER(T46),T46&gt;0),U46/T46,"")</f>
        <v/>
      </c>
      <c r="W46" s="8" t="n"/>
    </row>
    <row r="47">
      <c r="A47" s="7" t="n">
        <v>21</v>
      </c>
      <c r="B47" s="7" t="inlineStr">
        <is>
          <t>Jurídico AI</t>
        </is>
      </c>
      <c r="C47" s="9">
        <f>INDEX(Perguntas!$B$2:$B$26,MATCH(A47,Perguntas!$A$2:$A$26,0))</f>
        <v/>
      </c>
      <c r="D47" s="9">
        <f>INDEX(Perguntas!$C$2:$C$26,MATCH(A47,Perguntas!$A$2:$A$26,0))</f>
        <v/>
      </c>
      <c r="E47" s="8" t="n"/>
      <c r="F47" s="8" t="n"/>
      <c r="G47" s="8" t="n"/>
      <c r="H47" s="8" t="n"/>
      <c r="I47" s="8" t="n"/>
      <c r="J47" s="8" t="n"/>
      <c r="K47" s="8" t="n"/>
      <c r="L47" s="10">
        <f>IF(COUNT(J47:K47)=2,(J47*Parametros!$B$3+K47*Parametros!$B$4)/1000000*Parametros!$B$5,"")</f>
        <v/>
      </c>
      <c r="M47" s="8" t="n"/>
      <c r="N47" s="8" t="n"/>
      <c r="O47" s="8" t="n"/>
      <c r="P47" s="8" t="n"/>
      <c r="Q47" s="8" t="n"/>
      <c r="R47" s="9">
        <f>IF(COUNT(M47:Q47)=5,SUM(M47:Q47),"")</f>
        <v/>
      </c>
      <c r="S47" s="8" t="n"/>
      <c r="T47" s="8" t="n"/>
      <c r="U47" s="8" t="n"/>
      <c r="V47" s="11">
        <f>IF(AND(ISNUMBER(T47),T47&gt;0),U47/T47,"")</f>
        <v/>
      </c>
      <c r="W47" s="8" t="n"/>
    </row>
    <row r="48">
      <c r="A48" s="7" t="n">
        <v>22</v>
      </c>
      <c r="B48" s="7" t="inlineStr">
        <is>
          <t>Jurídico AI</t>
        </is>
      </c>
      <c r="C48" s="9">
        <f>INDEX(Perguntas!$B$2:$B$26,MATCH(A48,Perguntas!$A$2:$A$26,0))</f>
        <v/>
      </c>
      <c r="D48" s="9">
        <f>INDEX(Perguntas!$C$2:$C$26,MATCH(A48,Perguntas!$A$2:$A$26,0))</f>
        <v/>
      </c>
      <c r="E48" s="8" t="n"/>
      <c r="F48" s="8" t="n"/>
      <c r="G48" s="8" t="n"/>
      <c r="H48" s="8" t="n"/>
      <c r="I48" s="8" t="n"/>
      <c r="J48" s="8" t="n"/>
      <c r="K48" s="8" t="n"/>
      <c r="L48" s="10">
        <f>IF(COUNT(J48:K48)=2,(J48*Parametros!$B$3+K48*Parametros!$B$4)/1000000*Parametros!$B$5,"")</f>
        <v/>
      </c>
      <c r="M48" s="8" t="n"/>
      <c r="N48" s="8" t="n"/>
      <c r="O48" s="8" t="n"/>
      <c r="P48" s="8" t="n"/>
      <c r="Q48" s="8" t="n"/>
      <c r="R48" s="9">
        <f>IF(COUNT(M48:Q48)=5,SUM(M48:Q48),"")</f>
        <v/>
      </c>
      <c r="S48" s="8" t="n"/>
      <c r="T48" s="8" t="n"/>
      <c r="U48" s="8" t="n"/>
      <c r="V48" s="11">
        <f>IF(AND(ISNUMBER(T48),T48&gt;0),U48/T48,"")</f>
        <v/>
      </c>
      <c r="W48" s="8" t="n"/>
    </row>
    <row r="49">
      <c r="A49" s="7" t="n">
        <v>23</v>
      </c>
      <c r="B49" s="7" t="inlineStr">
        <is>
          <t>Jurídico AI</t>
        </is>
      </c>
      <c r="C49" s="9">
        <f>INDEX(Perguntas!$B$2:$B$26,MATCH(A49,Perguntas!$A$2:$A$26,0))</f>
        <v/>
      </c>
      <c r="D49" s="9">
        <f>INDEX(Perguntas!$C$2:$C$26,MATCH(A49,Perguntas!$A$2:$A$26,0))</f>
        <v/>
      </c>
      <c r="E49" s="8" t="n"/>
      <c r="F49" s="8" t="n"/>
      <c r="G49" s="8" t="n"/>
      <c r="H49" s="8" t="n"/>
      <c r="I49" s="8" t="n"/>
      <c r="J49" s="8" t="n"/>
      <c r="K49" s="8" t="n"/>
      <c r="L49" s="10">
        <f>IF(COUNT(J49:K49)=2,(J49*Parametros!$B$3+K49*Parametros!$B$4)/1000000*Parametros!$B$5,"")</f>
        <v/>
      </c>
      <c r="M49" s="8" t="n"/>
      <c r="N49" s="8" t="n"/>
      <c r="O49" s="8" t="n"/>
      <c r="P49" s="8" t="n"/>
      <c r="Q49" s="8" t="n"/>
      <c r="R49" s="9">
        <f>IF(COUNT(M49:Q49)=5,SUM(M49:Q49),"")</f>
        <v/>
      </c>
      <c r="S49" s="8" t="n"/>
      <c r="T49" s="8" t="n"/>
      <c r="U49" s="8" t="n"/>
      <c r="V49" s="11">
        <f>IF(AND(ISNUMBER(T49),T49&gt;0),U49/T49,"")</f>
        <v/>
      </c>
      <c r="W49" s="8" t="n"/>
    </row>
    <row r="50">
      <c r="A50" s="7" t="n">
        <v>24</v>
      </c>
      <c r="B50" s="7" t="inlineStr">
        <is>
          <t>Jurídico AI</t>
        </is>
      </c>
      <c r="C50" s="9">
        <f>INDEX(Perguntas!$B$2:$B$26,MATCH(A50,Perguntas!$A$2:$A$26,0))</f>
        <v/>
      </c>
      <c r="D50" s="9">
        <f>INDEX(Perguntas!$C$2:$C$26,MATCH(A50,Perguntas!$A$2:$A$26,0))</f>
        <v/>
      </c>
      <c r="E50" s="8" t="n"/>
      <c r="F50" s="8" t="n"/>
      <c r="G50" s="8" t="n"/>
      <c r="H50" s="8" t="n"/>
      <c r="I50" s="8" t="n"/>
      <c r="J50" s="8" t="n"/>
      <c r="K50" s="8" t="n"/>
      <c r="L50" s="10">
        <f>IF(COUNT(J50:K50)=2,(J50*Parametros!$B$3+K50*Parametros!$B$4)/1000000*Parametros!$B$5,"")</f>
        <v/>
      </c>
      <c r="M50" s="8" t="n"/>
      <c r="N50" s="8" t="n"/>
      <c r="O50" s="8" t="n"/>
      <c r="P50" s="8" t="n"/>
      <c r="Q50" s="8" t="n"/>
      <c r="R50" s="9">
        <f>IF(COUNT(M50:Q50)=5,SUM(M50:Q50),"")</f>
        <v/>
      </c>
      <c r="S50" s="8" t="n"/>
      <c r="T50" s="8" t="n"/>
      <c r="U50" s="8" t="n"/>
      <c r="V50" s="11">
        <f>IF(AND(ISNUMBER(T50),T50&gt;0),U50/T50,"")</f>
        <v/>
      </c>
      <c r="W50" s="8" t="n"/>
    </row>
    <row r="51">
      <c r="A51" s="7" t="n">
        <v>25</v>
      </c>
      <c r="B51" s="7" t="inlineStr">
        <is>
          <t>Jurídico AI</t>
        </is>
      </c>
      <c r="C51" s="9">
        <f>INDEX(Perguntas!$B$2:$B$26,MATCH(A51,Perguntas!$A$2:$A$26,0))</f>
        <v/>
      </c>
      <c r="D51" s="9">
        <f>INDEX(Perguntas!$C$2:$C$26,MATCH(A51,Perguntas!$A$2:$A$26,0))</f>
        <v/>
      </c>
      <c r="E51" s="8" t="n"/>
      <c r="F51" s="8" t="n"/>
      <c r="G51" s="8" t="n"/>
      <c r="H51" s="8" t="n"/>
      <c r="I51" s="8" t="n"/>
      <c r="J51" s="8" t="n"/>
      <c r="K51" s="8" t="n"/>
      <c r="L51" s="10">
        <f>IF(COUNT(J51:K51)=2,(J51*Parametros!$B$3+K51*Parametros!$B$4)/1000000*Parametros!$B$5,"")</f>
        <v/>
      </c>
      <c r="M51" s="8" t="n"/>
      <c r="N51" s="8" t="n"/>
      <c r="O51" s="8" t="n"/>
      <c r="P51" s="8" t="n"/>
      <c r="Q51" s="8" t="n"/>
      <c r="R51" s="9">
        <f>IF(COUNT(M51:Q51)=5,SUM(M51:Q51),"")</f>
        <v/>
      </c>
      <c r="S51" s="8" t="n"/>
      <c r="T51" s="8" t="n"/>
      <c r="U51" s="8" t="n"/>
      <c r="V51" s="11">
        <f>IF(AND(ISNUMBER(T51),T51&gt;0),U51/T51,"")</f>
        <v/>
      </c>
      <c r="W51" s="8" t="n"/>
    </row>
    <row r="52">
      <c r="A52" s="7" t="n">
        <v>1</v>
      </c>
      <c r="B52" s="7" t="inlineStr">
        <is>
          <t>LLM genérico</t>
        </is>
      </c>
      <c r="C52" s="9">
        <f>INDEX(Perguntas!$B$2:$B$26,MATCH(A52,Perguntas!$A$2:$A$26,0))</f>
        <v/>
      </c>
      <c r="D52" s="9">
        <f>INDEX(Perguntas!$C$2:$C$26,MATCH(A52,Perguntas!$A$2:$A$26,0))</f>
        <v/>
      </c>
      <c r="E52" s="8" t="n"/>
      <c r="F52" s="8" t="n"/>
      <c r="G52" s="8" t="n"/>
      <c r="H52" s="8" t="n"/>
      <c r="I52" s="8" t="n"/>
      <c r="J52" s="8" t="n"/>
      <c r="K52" s="8" t="n"/>
      <c r="L52" s="10">
        <f>IF(COUNT(J52:K52)=2,(J52*Parametros!$B$3+K52*Parametros!$B$4)/1000000*Parametros!$B$5,"")</f>
        <v/>
      </c>
      <c r="M52" s="8" t="n"/>
      <c r="N52" s="8" t="n"/>
      <c r="O52" s="8" t="n"/>
      <c r="P52" s="8" t="n"/>
      <c r="Q52" s="8" t="n"/>
      <c r="R52" s="9">
        <f>IF(COUNT(M52:Q52)=5,SUM(M52:Q52),"")</f>
        <v/>
      </c>
      <c r="S52" s="8" t="n"/>
      <c r="T52" s="8" t="n"/>
      <c r="U52" s="8" t="n"/>
      <c r="V52" s="11">
        <f>IF(AND(ISNUMBER(T52),T52&gt;0),U52/T52,"")</f>
        <v/>
      </c>
      <c r="W52" s="8" t="n"/>
    </row>
    <row r="53">
      <c r="A53" s="7" t="n">
        <v>2</v>
      </c>
      <c r="B53" s="7" t="inlineStr">
        <is>
          <t>LLM genérico</t>
        </is>
      </c>
      <c r="C53" s="9">
        <f>INDEX(Perguntas!$B$2:$B$26,MATCH(A53,Perguntas!$A$2:$A$26,0))</f>
        <v/>
      </c>
      <c r="D53" s="9">
        <f>INDEX(Perguntas!$C$2:$C$26,MATCH(A53,Perguntas!$A$2:$A$26,0))</f>
        <v/>
      </c>
      <c r="E53" s="8" t="n"/>
      <c r="F53" s="8" t="n"/>
      <c r="G53" s="8" t="n"/>
      <c r="H53" s="8" t="n"/>
      <c r="I53" s="8" t="n"/>
      <c r="J53" s="8" t="n"/>
      <c r="K53" s="8" t="n"/>
      <c r="L53" s="10">
        <f>IF(COUNT(J53:K53)=2,(J53*Parametros!$B$3+K53*Parametros!$B$4)/1000000*Parametros!$B$5,"")</f>
        <v/>
      </c>
      <c r="M53" s="8" t="n"/>
      <c r="N53" s="8" t="n"/>
      <c r="O53" s="8" t="n"/>
      <c r="P53" s="8" t="n"/>
      <c r="Q53" s="8" t="n"/>
      <c r="R53" s="9">
        <f>IF(COUNT(M53:Q53)=5,SUM(M53:Q53),"")</f>
        <v/>
      </c>
      <c r="S53" s="8" t="n"/>
      <c r="T53" s="8" t="n"/>
      <c r="U53" s="8" t="n"/>
      <c r="V53" s="11">
        <f>IF(AND(ISNUMBER(T53),T53&gt;0),U53/T53,"")</f>
        <v/>
      </c>
      <c r="W53" s="8" t="n"/>
    </row>
    <row r="54">
      <c r="A54" s="7" t="n">
        <v>3</v>
      </c>
      <c r="B54" s="7" t="inlineStr">
        <is>
          <t>LLM genérico</t>
        </is>
      </c>
      <c r="C54" s="9">
        <f>INDEX(Perguntas!$B$2:$B$26,MATCH(A54,Perguntas!$A$2:$A$26,0))</f>
        <v/>
      </c>
      <c r="D54" s="9">
        <f>INDEX(Perguntas!$C$2:$C$26,MATCH(A54,Perguntas!$A$2:$A$26,0))</f>
        <v/>
      </c>
      <c r="E54" s="8" t="n"/>
      <c r="F54" s="8" t="n"/>
      <c r="G54" s="8" t="n"/>
      <c r="H54" s="8" t="n"/>
      <c r="I54" s="8" t="n"/>
      <c r="J54" s="8" t="n"/>
      <c r="K54" s="8" t="n"/>
      <c r="L54" s="10">
        <f>IF(COUNT(J54:K54)=2,(J54*Parametros!$B$3+K54*Parametros!$B$4)/1000000*Parametros!$B$5,"")</f>
        <v/>
      </c>
      <c r="M54" s="8" t="n"/>
      <c r="N54" s="8" t="n"/>
      <c r="O54" s="8" t="n"/>
      <c r="P54" s="8" t="n"/>
      <c r="Q54" s="8" t="n"/>
      <c r="R54" s="9">
        <f>IF(COUNT(M54:Q54)=5,SUM(M54:Q54),"")</f>
        <v/>
      </c>
      <c r="S54" s="8" t="n"/>
      <c r="T54" s="8" t="n"/>
      <c r="U54" s="8" t="n"/>
      <c r="V54" s="11">
        <f>IF(AND(ISNUMBER(T54),T54&gt;0),U54/T54,"")</f>
        <v/>
      </c>
      <c r="W54" s="8" t="n"/>
    </row>
    <row r="55">
      <c r="A55" s="7" t="n">
        <v>4</v>
      </c>
      <c r="B55" s="7" t="inlineStr">
        <is>
          <t>LLM genérico</t>
        </is>
      </c>
      <c r="C55" s="9">
        <f>INDEX(Perguntas!$B$2:$B$26,MATCH(A55,Perguntas!$A$2:$A$26,0))</f>
        <v/>
      </c>
      <c r="D55" s="9">
        <f>INDEX(Perguntas!$C$2:$C$26,MATCH(A55,Perguntas!$A$2:$A$26,0))</f>
        <v/>
      </c>
      <c r="E55" s="8" t="n"/>
      <c r="F55" s="8" t="n"/>
      <c r="G55" s="8" t="n"/>
      <c r="H55" s="8" t="n"/>
      <c r="I55" s="8" t="n"/>
      <c r="J55" s="8" t="n"/>
      <c r="K55" s="8" t="n"/>
      <c r="L55" s="10">
        <f>IF(COUNT(J55:K55)=2,(J55*Parametros!$B$3+K55*Parametros!$B$4)/1000000*Parametros!$B$5,"")</f>
        <v/>
      </c>
      <c r="M55" s="8" t="n"/>
      <c r="N55" s="8" t="n"/>
      <c r="O55" s="8" t="n"/>
      <c r="P55" s="8" t="n"/>
      <c r="Q55" s="8" t="n"/>
      <c r="R55" s="9">
        <f>IF(COUNT(M55:Q55)=5,SUM(M55:Q55),"")</f>
        <v/>
      </c>
      <c r="S55" s="8" t="n"/>
      <c r="T55" s="8" t="n"/>
      <c r="U55" s="8" t="n"/>
      <c r="V55" s="11">
        <f>IF(AND(ISNUMBER(T55),T55&gt;0),U55/T55,"")</f>
        <v/>
      </c>
      <c r="W55" s="8" t="n"/>
    </row>
    <row r="56">
      <c r="A56" s="7" t="n">
        <v>5</v>
      </c>
      <c r="B56" s="7" t="inlineStr">
        <is>
          <t>LLM genérico</t>
        </is>
      </c>
      <c r="C56" s="9">
        <f>INDEX(Perguntas!$B$2:$B$26,MATCH(A56,Perguntas!$A$2:$A$26,0))</f>
        <v/>
      </c>
      <c r="D56" s="9">
        <f>INDEX(Perguntas!$C$2:$C$26,MATCH(A56,Perguntas!$A$2:$A$26,0))</f>
        <v/>
      </c>
      <c r="E56" s="8" t="n"/>
      <c r="F56" s="8" t="n"/>
      <c r="G56" s="8" t="n"/>
      <c r="H56" s="8" t="n"/>
      <c r="I56" s="8" t="n"/>
      <c r="J56" s="8" t="n"/>
      <c r="K56" s="8" t="n"/>
      <c r="L56" s="10">
        <f>IF(COUNT(J56:K56)=2,(J56*Parametros!$B$3+K56*Parametros!$B$4)/1000000*Parametros!$B$5,"")</f>
        <v/>
      </c>
      <c r="M56" s="8" t="n"/>
      <c r="N56" s="8" t="n"/>
      <c r="O56" s="8" t="n"/>
      <c r="P56" s="8" t="n"/>
      <c r="Q56" s="8" t="n"/>
      <c r="R56" s="9">
        <f>IF(COUNT(M56:Q56)=5,SUM(M56:Q56),"")</f>
        <v/>
      </c>
      <c r="S56" s="8" t="n"/>
      <c r="T56" s="8" t="n"/>
      <c r="U56" s="8" t="n"/>
      <c r="V56" s="11">
        <f>IF(AND(ISNUMBER(T56),T56&gt;0),U56/T56,"")</f>
        <v/>
      </c>
      <c r="W56" s="8" t="n"/>
    </row>
    <row r="57">
      <c r="A57" s="7" t="n">
        <v>6</v>
      </c>
      <c r="B57" s="7" t="inlineStr">
        <is>
          <t>LLM genérico</t>
        </is>
      </c>
      <c r="C57" s="9">
        <f>INDEX(Perguntas!$B$2:$B$26,MATCH(A57,Perguntas!$A$2:$A$26,0))</f>
        <v/>
      </c>
      <c r="D57" s="9">
        <f>INDEX(Perguntas!$C$2:$C$26,MATCH(A57,Perguntas!$A$2:$A$26,0))</f>
        <v/>
      </c>
      <c r="E57" s="8" t="n"/>
      <c r="F57" s="8" t="n"/>
      <c r="G57" s="8" t="n"/>
      <c r="H57" s="8" t="n"/>
      <c r="I57" s="8" t="n"/>
      <c r="J57" s="8" t="n"/>
      <c r="K57" s="8" t="n"/>
      <c r="L57" s="10">
        <f>IF(COUNT(J57:K57)=2,(J57*Parametros!$B$3+K57*Parametros!$B$4)/1000000*Parametros!$B$5,"")</f>
        <v/>
      </c>
      <c r="M57" s="8" t="n"/>
      <c r="N57" s="8" t="n"/>
      <c r="O57" s="8" t="n"/>
      <c r="P57" s="8" t="n"/>
      <c r="Q57" s="8" t="n"/>
      <c r="R57" s="9">
        <f>IF(COUNT(M57:Q57)=5,SUM(M57:Q57),"")</f>
        <v/>
      </c>
      <c r="S57" s="8" t="n"/>
      <c r="T57" s="8" t="n"/>
      <c r="U57" s="8" t="n"/>
      <c r="V57" s="11">
        <f>IF(AND(ISNUMBER(T57),T57&gt;0),U57/T57,"")</f>
        <v/>
      </c>
      <c r="W57" s="8" t="n"/>
    </row>
    <row r="58">
      <c r="A58" s="7" t="n">
        <v>7</v>
      </c>
      <c r="B58" s="7" t="inlineStr">
        <is>
          <t>LLM genérico</t>
        </is>
      </c>
      <c r="C58" s="9">
        <f>INDEX(Perguntas!$B$2:$B$26,MATCH(A58,Perguntas!$A$2:$A$26,0))</f>
        <v/>
      </c>
      <c r="D58" s="9">
        <f>INDEX(Perguntas!$C$2:$C$26,MATCH(A58,Perguntas!$A$2:$A$26,0))</f>
        <v/>
      </c>
      <c r="E58" s="8" t="n"/>
      <c r="F58" s="8" t="n"/>
      <c r="G58" s="8" t="n"/>
      <c r="H58" s="8" t="n"/>
      <c r="I58" s="8" t="n"/>
      <c r="J58" s="8" t="n"/>
      <c r="K58" s="8" t="n"/>
      <c r="L58" s="10">
        <f>IF(COUNT(J58:K58)=2,(J58*Parametros!$B$3+K58*Parametros!$B$4)/1000000*Parametros!$B$5,"")</f>
        <v/>
      </c>
      <c r="M58" s="8" t="n"/>
      <c r="N58" s="8" t="n"/>
      <c r="O58" s="8" t="n"/>
      <c r="P58" s="8" t="n"/>
      <c r="Q58" s="8" t="n"/>
      <c r="R58" s="9">
        <f>IF(COUNT(M58:Q58)=5,SUM(M58:Q58),"")</f>
        <v/>
      </c>
      <c r="S58" s="8" t="n"/>
      <c r="T58" s="8" t="n"/>
      <c r="U58" s="8" t="n"/>
      <c r="V58" s="11">
        <f>IF(AND(ISNUMBER(T58),T58&gt;0),U58/T58,"")</f>
        <v/>
      </c>
      <c r="W58" s="8" t="n"/>
    </row>
    <row r="59">
      <c r="A59" s="7" t="n">
        <v>8</v>
      </c>
      <c r="B59" s="7" t="inlineStr">
        <is>
          <t>LLM genérico</t>
        </is>
      </c>
      <c r="C59" s="9">
        <f>INDEX(Perguntas!$B$2:$B$26,MATCH(A59,Perguntas!$A$2:$A$26,0))</f>
        <v/>
      </c>
      <c r="D59" s="9">
        <f>INDEX(Perguntas!$C$2:$C$26,MATCH(A59,Perguntas!$A$2:$A$26,0))</f>
        <v/>
      </c>
      <c r="E59" s="8" t="n"/>
      <c r="F59" s="8" t="n"/>
      <c r="G59" s="8" t="n"/>
      <c r="H59" s="8" t="n"/>
      <c r="I59" s="8" t="n"/>
      <c r="J59" s="8" t="n"/>
      <c r="K59" s="8" t="n"/>
      <c r="L59" s="10">
        <f>IF(COUNT(J59:K59)=2,(J59*Parametros!$B$3+K59*Parametros!$B$4)/1000000*Parametros!$B$5,"")</f>
        <v/>
      </c>
      <c r="M59" s="8" t="n"/>
      <c r="N59" s="8" t="n"/>
      <c r="O59" s="8" t="n"/>
      <c r="P59" s="8" t="n"/>
      <c r="Q59" s="8" t="n"/>
      <c r="R59" s="9">
        <f>IF(COUNT(M59:Q59)=5,SUM(M59:Q59),"")</f>
        <v/>
      </c>
      <c r="S59" s="8" t="n"/>
      <c r="T59" s="8" t="n"/>
      <c r="U59" s="8" t="n"/>
      <c r="V59" s="11">
        <f>IF(AND(ISNUMBER(T59),T59&gt;0),U59/T59,"")</f>
        <v/>
      </c>
      <c r="W59" s="8" t="n"/>
    </row>
    <row r="60">
      <c r="A60" s="7" t="n">
        <v>9</v>
      </c>
      <c r="B60" s="7" t="inlineStr">
        <is>
          <t>LLM genérico</t>
        </is>
      </c>
      <c r="C60" s="9">
        <f>INDEX(Perguntas!$B$2:$B$26,MATCH(A60,Perguntas!$A$2:$A$26,0))</f>
        <v/>
      </c>
      <c r="D60" s="9">
        <f>INDEX(Perguntas!$C$2:$C$26,MATCH(A60,Perguntas!$A$2:$A$26,0))</f>
        <v/>
      </c>
      <c r="E60" s="8" t="n"/>
      <c r="F60" s="8" t="n"/>
      <c r="G60" s="8" t="n"/>
      <c r="H60" s="8" t="n"/>
      <c r="I60" s="8" t="n"/>
      <c r="J60" s="8" t="n"/>
      <c r="K60" s="8" t="n"/>
      <c r="L60" s="10">
        <f>IF(COUNT(J60:K60)=2,(J60*Parametros!$B$3+K60*Parametros!$B$4)/1000000*Parametros!$B$5,"")</f>
        <v/>
      </c>
      <c r="M60" s="8" t="n"/>
      <c r="N60" s="8" t="n"/>
      <c r="O60" s="8" t="n"/>
      <c r="P60" s="8" t="n"/>
      <c r="Q60" s="8" t="n"/>
      <c r="R60" s="9">
        <f>IF(COUNT(M60:Q60)=5,SUM(M60:Q60),"")</f>
        <v/>
      </c>
      <c r="S60" s="8" t="n"/>
      <c r="T60" s="8" t="n"/>
      <c r="U60" s="8" t="n"/>
      <c r="V60" s="11">
        <f>IF(AND(ISNUMBER(T60),T60&gt;0),U60/T60,"")</f>
        <v/>
      </c>
      <c r="W60" s="8" t="n"/>
    </row>
    <row r="61">
      <c r="A61" s="7" t="n">
        <v>10</v>
      </c>
      <c r="B61" s="7" t="inlineStr">
        <is>
          <t>LLM genérico</t>
        </is>
      </c>
      <c r="C61" s="9">
        <f>INDEX(Perguntas!$B$2:$B$26,MATCH(A61,Perguntas!$A$2:$A$26,0))</f>
        <v/>
      </c>
      <c r="D61" s="9">
        <f>INDEX(Perguntas!$C$2:$C$26,MATCH(A61,Perguntas!$A$2:$A$26,0))</f>
        <v/>
      </c>
      <c r="E61" s="8" t="n"/>
      <c r="F61" s="8" t="n"/>
      <c r="G61" s="8" t="n"/>
      <c r="H61" s="8" t="n"/>
      <c r="I61" s="8" t="n"/>
      <c r="J61" s="8" t="n"/>
      <c r="K61" s="8" t="n"/>
      <c r="L61" s="10">
        <f>IF(COUNT(J61:K61)=2,(J61*Parametros!$B$3+K61*Parametros!$B$4)/1000000*Parametros!$B$5,"")</f>
        <v/>
      </c>
      <c r="M61" s="8" t="n"/>
      <c r="N61" s="8" t="n"/>
      <c r="O61" s="8" t="n"/>
      <c r="P61" s="8" t="n"/>
      <c r="Q61" s="8" t="n"/>
      <c r="R61" s="9">
        <f>IF(COUNT(M61:Q61)=5,SUM(M61:Q61),"")</f>
        <v/>
      </c>
      <c r="S61" s="8" t="n"/>
      <c r="T61" s="8" t="n"/>
      <c r="U61" s="8" t="n"/>
      <c r="V61" s="11">
        <f>IF(AND(ISNUMBER(T61),T61&gt;0),U61/T61,"")</f>
        <v/>
      </c>
      <c r="W61" s="8" t="n"/>
    </row>
    <row r="62">
      <c r="A62" s="7" t="n">
        <v>11</v>
      </c>
      <c r="B62" s="7" t="inlineStr">
        <is>
          <t>LLM genérico</t>
        </is>
      </c>
      <c r="C62" s="9">
        <f>INDEX(Perguntas!$B$2:$B$26,MATCH(A62,Perguntas!$A$2:$A$26,0))</f>
        <v/>
      </c>
      <c r="D62" s="9">
        <f>INDEX(Perguntas!$C$2:$C$26,MATCH(A62,Perguntas!$A$2:$A$26,0))</f>
        <v/>
      </c>
      <c r="E62" s="8" t="n"/>
      <c r="F62" s="8" t="n"/>
      <c r="G62" s="8" t="n"/>
      <c r="H62" s="8" t="n"/>
      <c r="I62" s="8" t="n"/>
      <c r="J62" s="8" t="n"/>
      <c r="K62" s="8" t="n"/>
      <c r="L62" s="10">
        <f>IF(COUNT(J62:K62)=2,(J62*Parametros!$B$3+K62*Parametros!$B$4)/1000000*Parametros!$B$5,"")</f>
        <v/>
      </c>
      <c r="M62" s="8" t="n"/>
      <c r="N62" s="8" t="n"/>
      <c r="O62" s="8" t="n"/>
      <c r="P62" s="8" t="n"/>
      <c r="Q62" s="8" t="n"/>
      <c r="R62" s="9">
        <f>IF(COUNT(M62:Q62)=5,SUM(M62:Q62),"")</f>
        <v/>
      </c>
      <c r="S62" s="8" t="n"/>
      <c r="T62" s="8" t="n"/>
      <c r="U62" s="8" t="n"/>
      <c r="V62" s="11">
        <f>IF(AND(ISNUMBER(T62),T62&gt;0),U62/T62,"")</f>
        <v/>
      </c>
      <c r="W62" s="8" t="n"/>
    </row>
    <row r="63">
      <c r="A63" s="7" t="n">
        <v>12</v>
      </c>
      <c r="B63" s="7" t="inlineStr">
        <is>
          <t>LLM genérico</t>
        </is>
      </c>
      <c r="C63" s="9">
        <f>INDEX(Perguntas!$B$2:$B$26,MATCH(A63,Perguntas!$A$2:$A$26,0))</f>
        <v/>
      </c>
      <c r="D63" s="9">
        <f>INDEX(Perguntas!$C$2:$C$26,MATCH(A63,Perguntas!$A$2:$A$26,0))</f>
        <v/>
      </c>
      <c r="E63" s="8" t="n"/>
      <c r="F63" s="8" t="n"/>
      <c r="G63" s="8" t="n"/>
      <c r="H63" s="8" t="n"/>
      <c r="I63" s="8" t="n"/>
      <c r="J63" s="8" t="n"/>
      <c r="K63" s="8" t="n"/>
      <c r="L63" s="10">
        <f>IF(COUNT(J63:K63)=2,(J63*Parametros!$B$3+K63*Parametros!$B$4)/1000000*Parametros!$B$5,"")</f>
        <v/>
      </c>
      <c r="M63" s="8" t="n"/>
      <c r="N63" s="8" t="n"/>
      <c r="O63" s="8" t="n"/>
      <c r="P63" s="8" t="n"/>
      <c r="Q63" s="8" t="n"/>
      <c r="R63" s="9">
        <f>IF(COUNT(M63:Q63)=5,SUM(M63:Q63),"")</f>
        <v/>
      </c>
      <c r="S63" s="8" t="n"/>
      <c r="T63" s="8" t="n"/>
      <c r="U63" s="8" t="n"/>
      <c r="V63" s="11">
        <f>IF(AND(ISNUMBER(T63),T63&gt;0),U63/T63,"")</f>
        <v/>
      </c>
      <c r="W63" s="8" t="n"/>
    </row>
    <row r="64">
      <c r="A64" s="7" t="n">
        <v>13</v>
      </c>
      <c r="B64" s="7" t="inlineStr">
        <is>
          <t>LLM genérico</t>
        </is>
      </c>
      <c r="C64" s="9">
        <f>INDEX(Perguntas!$B$2:$B$26,MATCH(A64,Perguntas!$A$2:$A$26,0))</f>
        <v/>
      </c>
      <c r="D64" s="9">
        <f>INDEX(Perguntas!$C$2:$C$26,MATCH(A64,Perguntas!$A$2:$A$26,0))</f>
        <v/>
      </c>
      <c r="E64" s="8" t="n"/>
      <c r="F64" s="8" t="n"/>
      <c r="G64" s="8" t="n"/>
      <c r="H64" s="8" t="n"/>
      <c r="I64" s="8" t="n"/>
      <c r="J64" s="8" t="n"/>
      <c r="K64" s="8" t="n"/>
      <c r="L64" s="10">
        <f>IF(COUNT(J64:K64)=2,(J64*Parametros!$B$3+K64*Parametros!$B$4)/1000000*Parametros!$B$5,"")</f>
        <v/>
      </c>
      <c r="M64" s="8" t="n"/>
      <c r="N64" s="8" t="n"/>
      <c r="O64" s="8" t="n"/>
      <c r="P64" s="8" t="n"/>
      <c r="Q64" s="8" t="n"/>
      <c r="R64" s="9">
        <f>IF(COUNT(M64:Q64)=5,SUM(M64:Q64),"")</f>
        <v/>
      </c>
      <c r="S64" s="8" t="n"/>
      <c r="T64" s="8" t="n"/>
      <c r="U64" s="8" t="n"/>
      <c r="V64" s="11">
        <f>IF(AND(ISNUMBER(T64),T64&gt;0),U64/T64,"")</f>
        <v/>
      </c>
      <c r="W64" s="8" t="n"/>
    </row>
    <row r="65">
      <c r="A65" s="7" t="n">
        <v>14</v>
      </c>
      <c r="B65" s="7" t="inlineStr">
        <is>
          <t>LLM genérico</t>
        </is>
      </c>
      <c r="C65" s="9">
        <f>INDEX(Perguntas!$B$2:$B$26,MATCH(A65,Perguntas!$A$2:$A$26,0))</f>
        <v/>
      </c>
      <c r="D65" s="9">
        <f>INDEX(Perguntas!$C$2:$C$26,MATCH(A65,Perguntas!$A$2:$A$26,0))</f>
        <v/>
      </c>
      <c r="E65" s="8" t="n"/>
      <c r="F65" s="8" t="n"/>
      <c r="G65" s="8" t="n"/>
      <c r="H65" s="8" t="n"/>
      <c r="I65" s="8" t="n"/>
      <c r="J65" s="8" t="n"/>
      <c r="K65" s="8" t="n"/>
      <c r="L65" s="10">
        <f>IF(COUNT(J65:K65)=2,(J65*Parametros!$B$3+K65*Parametros!$B$4)/1000000*Parametros!$B$5,"")</f>
        <v/>
      </c>
      <c r="M65" s="8" t="n"/>
      <c r="N65" s="8" t="n"/>
      <c r="O65" s="8" t="n"/>
      <c r="P65" s="8" t="n"/>
      <c r="Q65" s="8" t="n"/>
      <c r="R65" s="9">
        <f>IF(COUNT(M65:Q65)=5,SUM(M65:Q65),"")</f>
        <v/>
      </c>
      <c r="S65" s="8" t="n"/>
      <c r="T65" s="8" t="n"/>
      <c r="U65" s="8" t="n"/>
      <c r="V65" s="11">
        <f>IF(AND(ISNUMBER(T65),T65&gt;0),U65/T65,"")</f>
        <v/>
      </c>
      <c r="W65" s="8" t="n"/>
    </row>
    <row r="66">
      <c r="A66" s="7" t="n">
        <v>15</v>
      </c>
      <c r="B66" s="7" t="inlineStr">
        <is>
          <t>LLM genérico</t>
        </is>
      </c>
      <c r="C66" s="9">
        <f>INDEX(Perguntas!$B$2:$B$26,MATCH(A66,Perguntas!$A$2:$A$26,0))</f>
        <v/>
      </c>
      <c r="D66" s="9">
        <f>INDEX(Perguntas!$C$2:$C$26,MATCH(A66,Perguntas!$A$2:$A$26,0))</f>
        <v/>
      </c>
      <c r="E66" s="8" t="n"/>
      <c r="F66" s="8" t="n"/>
      <c r="G66" s="8" t="n"/>
      <c r="H66" s="8" t="n"/>
      <c r="I66" s="8" t="n"/>
      <c r="J66" s="8" t="n"/>
      <c r="K66" s="8" t="n"/>
      <c r="L66" s="10">
        <f>IF(COUNT(J66:K66)=2,(J66*Parametros!$B$3+K66*Parametros!$B$4)/1000000*Parametros!$B$5,"")</f>
        <v/>
      </c>
      <c r="M66" s="8" t="n"/>
      <c r="N66" s="8" t="n"/>
      <c r="O66" s="8" t="n"/>
      <c r="P66" s="8" t="n"/>
      <c r="Q66" s="8" t="n"/>
      <c r="R66" s="9">
        <f>IF(COUNT(M66:Q66)=5,SUM(M66:Q66),"")</f>
        <v/>
      </c>
      <c r="S66" s="8" t="n"/>
      <c r="T66" s="8" t="n"/>
      <c r="U66" s="8" t="n"/>
      <c r="V66" s="11">
        <f>IF(AND(ISNUMBER(T66),T66&gt;0),U66/T66,"")</f>
        <v/>
      </c>
      <c r="W66" s="8" t="n"/>
    </row>
    <row r="67">
      <c r="A67" s="7" t="n">
        <v>16</v>
      </c>
      <c r="B67" s="7" t="inlineStr">
        <is>
          <t>LLM genérico</t>
        </is>
      </c>
      <c r="C67" s="9">
        <f>INDEX(Perguntas!$B$2:$B$26,MATCH(A67,Perguntas!$A$2:$A$26,0))</f>
        <v/>
      </c>
      <c r="D67" s="9">
        <f>INDEX(Perguntas!$C$2:$C$26,MATCH(A67,Perguntas!$A$2:$A$26,0))</f>
        <v/>
      </c>
      <c r="E67" s="8" t="n"/>
      <c r="F67" s="8" t="n"/>
      <c r="G67" s="8" t="n"/>
      <c r="H67" s="8" t="n"/>
      <c r="I67" s="8" t="n"/>
      <c r="J67" s="8" t="n"/>
      <c r="K67" s="8" t="n"/>
      <c r="L67" s="10">
        <f>IF(COUNT(J67:K67)=2,(J67*Parametros!$B$3+K67*Parametros!$B$4)/1000000*Parametros!$B$5,"")</f>
        <v/>
      </c>
      <c r="M67" s="8" t="n"/>
      <c r="N67" s="8" t="n"/>
      <c r="O67" s="8" t="n"/>
      <c r="P67" s="8" t="n"/>
      <c r="Q67" s="8" t="n"/>
      <c r="R67" s="9">
        <f>IF(COUNT(M67:Q67)=5,SUM(M67:Q67),"")</f>
        <v/>
      </c>
      <c r="S67" s="8" t="n"/>
      <c r="T67" s="8" t="n"/>
      <c r="U67" s="8" t="n"/>
      <c r="V67" s="11">
        <f>IF(AND(ISNUMBER(T67),T67&gt;0),U67/T67,"")</f>
        <v/>
      </c>
      <c r="W67" s="8" t="n"/>
    </row>
    <row r="68">
      <c r="A68" s="7" t="n">
        <v>17</v>
      </c>
      <c r="B68" s="7" t="inlineStr">
        <is>
          <t>LLM genérico</t>
        </is>
      </c>
      <c r="C68" s="9">
        <f>INDEX(Perguntas!$B$2:$B$26,MATCH(A68,Perguntas!$A$2:$A$26,0))</f>
        <v/>
      </c>
      <c r="D68" s="9">
        <f>INDEX(Perguntas!$C$2:$C$26,MATCH(A68,Perguntas!$A$2:$A$26,0))</f>
        <v/>
      </c>
      <c r="E68" s="8" t="n"/>
      <c r="F68" s="8" t="n"/>
      <c r="G68" s="8" t="n"/>
      <c r="H68" s="8" t="n"/>
      <c r="I68" s="8" t="n"/>
      <c r="J68" s="8" t="n"/>
      <c r="K68" s="8" t="n"/>
      <c r="L68" s="10">
        <f>IF(COUNT(J68:K68)=2,(J68*Parametros!$B$3+K68*Parametros!$B$4)/1000000*Parametros!$B$5,"")</f>
        <v/>
      </c>
      <c r="M68" s="8" t="n"/>
      <c r="N68" s="8" t="n"/>
      <c r="O68" s="8" t="n"/>
      <c r="P68" s="8" t="n"/>
      <c r="Q68" s="8" t="n"/>
      <c r="R68" s="9">
        <f>IF(COUNT(M68:Q68)=5,SUM(M68:Q68),"")</f>
        <v/>
      </c>
      <c r="S68" s="8" t="n"/>
      <c r="T68" s="8" t="n"/>
      <c r="U68" s="8" t="n"/>
      <c r="V68" s="11">
        <f>IF(AND(ISNUMBER(T68),T68&gt;0),U68/T68,"")</f>
        <v/>
      </c>
      <c r="W68" s="8" t="n"/>
    </row>
    <row r="69">
      <c r="A69" s="7" t="n">
        <v>18</v>
      </c>
      <c r="B69" s="7" t="inlineStr">
        <is>
          <t>LLM genérico</t>
        </is>
      </c>
      <c r="C69" s="9">
        <f>INDEX(Perguntas!$B$2:$B$26,MATCH(A69,Perguntas!$A$2:$A$26,0))</f>
        <v/>
      </c>
      <c r="D69" s="9">
        <f>INDEX(Perguntas!$C$2:$C$26,MATCH(A69,Perguntas!$A$2:$A$26,0))</f>
        <v/>
      </c>
      <c r="E69" s="8" t="n"/>
      <c r="F69" s="8" t="n"/>
      <c r="G69" s="8" t="n"/>
      <c r="H69" s="8" t="n"/>
      <c r="I69" s="8" t="n"/>
      <c r="J69" s="8" t="n"/>
      <c r="K69" s="8" t="n"/>
      <c r="L69" s="10">
        <f>IF(COUNT(J69:K69)=2,(J69*Parametros!$B$3+K69*Parametros!$B$4)/1000000*Parametros!$B$5,"")</f>
        <v/>
      </c>
      <c r="M69" s="8" t="n"/>
      <c r="N69" s="8" t="n"/>
      <c r="O69" s="8" t="n"/>
      <c r="P69" s="8" t="n"/>
      <c r="Q69" s="8" t="n"/>
      <c r="R69" s="9">
        <f>IF(COUNT(M69:Q69)=5,SUM(M69:Q69),"")</f>
        <v/>
      </c>
      <c r="S69" s="8" t="n"/>
      <c r="T69" s="8" t="n"/>
      <c r="U69" s="8" t="n"/>
      <c r="V69" s="11">
        <f>IF(AND(ISNUMBER(T69),T69&gt;0),U69/T69,"")</f>
        <v/>
      </c>
      <c r="W69" s="8" t="n"/>
    </row>
    <row r="70">
      <c r="A70" s="7" t="n">
        <v>19</v>
      </c>
      <c r="B70" s="7" t="inlineStr">
        <is>
          <t>LLM genérico</t>
        </is>
      </c>
      <c r="C70" s="9">
        <f>INDEX(Perguntas!$B$2:$B$26,MATCH(A70,Perguntas!$A$2:$A$26,0))</f>
        <v/>
      </c>
      <c r="D70" s="9">
        <f>INDEX(Perguntas!$C$2:$C$26,MATCH(A70,Perguntas!$A$2:$A$26,0))</f>
        <v/>
      </c>
      <c r="E70" s="8" t="n"/>
      <c r="F70" s="8" t="n"/>
      <c r="G70" s="8" t="n"/>
      <c r="H70" s="8" t="n"/>
      <c r="I70" s="8" t="n"/>
      <c r="J70" s="8" t="n"/>
      <c r="K70" s="8" t="n"/>
      <c r="L70" s="10">
        <f>IF(COUNT(J70:K70)=2,(J70*Parametros!$B$3+K70*Parametros!$B$4)/1000000*Parametros!$B$5,"")</f>
        <v/>
      </c>
      <c r="M70" s="8" t="n"/>
      <c r="N70" s="8" t="n"/>
      <c r="O70" s="8" t="n"/>
      <c r="P70" s="8" t="n"/>
      <c r="Q70" s="8" t="n"/>
      <c r="R70" s="9">
        <f>IF(COUNT(M70:Q70)=5,SUM(M70:Q70),"")</f>
        <v/>
      </c>
      <c r="S70" s="8" t="n"/>
      <c r="T70" s="8" t="n"/>
      <c r="U70" s="8" t="n"/>
      <c r="V70" s="11">
        <f>IF(AND(ISNUMBER(T70),T70&gt;0),U70/T70,"")</f>
        <v/>
      </c>
      <c r="W70" s="8" t="n"/>
    </row>
    <row r="71">
      <c r="A71" s="7" t="n">
        <v>20</v>
      </c>
      <c r="B71" s="7" t="inlineStr">
        <is>
          <t>LLM genérico</t>
        </is>
      </c>
      <c r="C71" s="9">
        <f>INDEX(Perguntas!$B$2:$B$26,MATCH(A71,Perguntas!$A$2:$A$26,0))</f>
        <v/>
      </c>
      <c r="D71" s="9">
        <f>INDEX(Perguntas!$C$2:$C$26,MATCH(A71,Perguntas!$A$2:$A$26,0))</f>
        <v/>
      </c>
      <c r="E71" s="8" t="n"/>
      <c r="F71" s="8" t="n"/>
      <c r="G71" s="8" t="n"/>
      <c r="H71" s="8" t="n"/>
      <c r="I71" s="8" t="n"/>
      <c r="J71" s="8" t="n"/>
      <c r="K71" s="8" t="n"/>
      <c r="L71" s="10">
        <f>IF(COUNT(J71:K71)=2,(J71*Parametros!$B$3+K71*Parametros!$B$4)/1000000*Parametros!$B$5,"")</f>
        <v/>
      </c>
      <c r="M71" s="8" t="n"/>
      <c r="N71" s="8" t="n"/>
      <c r="O71" s="8" t="n"/>
      <c r="P71" s="8" t="n"/>
      <c r="Q71" s="8" t="n"/>
      <c r="R71" s="9">
        <f>IF(COUNT(M71:Q71)=5,SUM(M71:Q71),"")</f>
        <v/>
      </c>
      <c r="S71" s="8" t="n"/>
      <c r="T71" s="8" t="n"/>
      <c r="U71" s="8" t="n"/>
      <c r="V71" s="11">
        <f>IF(AND(ISNUMBER(T71),T71&gt;0),U71/T71,"")</f>
        <v/>
      </c>
      <c r="W71" s="8" t="n"/>
    </row>
    <row r="72">
      <c r="A72" s="7" t="n">
        <v>21</v>
      </c>
      <c r="B72" s="7" t="inlineStr">
        <is>
          <t>LLM genérico</t>
        </is>
      </c>
      <c r="C72" s="9">
        <f>INDEX(Perguntas!$B$2:$B$26,MATCH(A72,Perguntas!$A$2:$A$26,0))</f>
        <v/>
      </c>
      <c r="D72" s="9">
        <f>INDEX(Perguntas!$C$2:$C$26,MATCH(A72,Perguntas!$A$2:$A$26,0))</f>
        <v/>
      </c>
      <c r="E72" s="8" t="n"/>
      <c r="F72" s="8" t="n"/>
      <c r="G72" s="8" t="n"/>
      <c r="H72" s="8" t="n"/>
      <c r="I72" s="8" t="n"/>
      <c r="J72" s="8" t="n"/>
      <c r="K72" s="8" t="n"/>
      <c r="L72" s="10">
        <f>IF(COUNT(J72:K72)=2,(J72*Parametros!$B$3+K72*Parametros!$B$4)/1000000*Parametros!$B$5,"")</f>
        <v/>
      </c>
      <c r="M72" s="8" t="n"/>
      <c r="N72" s="8" t="n"/>
      <c r="O72" s="8" t="n"/>
      <c r="P72" s="8" t="n"/>
      <c r="Q72" s="8" t="n"/>
      <c r="R72" s="9">
        <f>IF(COUNT(M72:Q72)=5,SUM(M72:Q72),"")</f>
        <v/>
      </c>
      <c r="S72" s="8" t="n"/>
      <c r="T72" s="8" t="n"/>
      <c r="U72" s="8" t="n"/>
      <c r="V72" s="11">
        <f>IF(AND(ISNUMBER(T72),T72&gt;0),U72/T72,"")</f>
        <v/>
      </c>
      <c r="W72" s="8" t="n"/>
    </row>
    <row r="73">
      <c r="A73" s="7" t="n">
        <v>22</v>
      </c>
      <c r="B73" s="7" t="inlineStr">
        <is>
          <t>LLM genérico</t>
        </is>
      </c>
      <c r="C73" s="9">
        <f>INDEX(Perguntas!$B$2:$B$26,MATCH(A73,Perguntas!$A$2:$A$26,0))</f>
        <v/>
      </c>
      <c r="D73" s="9">
        <f>INDEX(Perguntas!$C$2:$C$26,MATCH(A73,Perguntas!$A$2:$A$26,0))</f>
        <v/>
      </c>
      <c r="E73" s="8" t="n"/>
      <c r="F73" s="8" t="n"/>
      <c r="G73" s="8" t="n"/>
      <c r="H73" s="8" t="n"/>
      <c r="I73" s="8" t="n"/>
      <c r="J73" s="8" t="n"/>
      <c r="K73" s="8" t="n"/>
      <c r="L73" s="10">
        <f>IF(COUNT(J73:K73)=2,(J73*Parametros!$B$3+K73*Parametros!$B$4)/1000000*Parametros!$B$5,"")</f>
        <v/>
      </c>
      <c r="M73" s="8" t="n"/>
      <c r="N73" s="8" t="n"/>
      <c r="O73" s="8" t="n"/>
      <c r="P73" s="8" t="n"/>
      <c r="Q73" s="8" t="n"/>
      <c r="R73" s="9">
        <f>IF(COUNT(M73:Q73)=5,SUM(M73:Q73),"")</f>
        <v/>
      </c>
      <c r="S73" s="8" t="n"/>
      <c r="T73" s="8" t="n"/>
      <c r="U73" s="8" t="n"/>
      <c r="V73" s="11">
        <f>IF(AND(ISNUMBER(T73),T73&gt;0),U73/T73,"")</f>
        <v/>
      </c>
      <c r="W73" s="8" t="n"/>
    </row>
    <row r="74">
      <c r="A74" s="7" t="n">
        <v>23</v>
      </c>
      <c r="B74" s="7" t="inlineStr">
        <is>
          <t>LLM genérico</t>
        </is>
      </c>
      <c r="C74" s="9">
        <f>INDEX(Perguntas!$B$2:$B$26,MATCH(A74,Perguntas!$A$2:$A$26,0))</f>
        <v/>
      </c>
      <c r="D74" s="9">
        <f>INDEX(Perguntas!$C$2:$C$26,MATCH(A74,Perguntas!$A$2:$A$26,0))</f>
        <v/>
      </c>
      <c r="E74" s="8" t="n"/>
      <c r="F74" s="8" t="n"/>
      <c r="G74" s="8" t="n"/>
      <c r="H74" s="8" t="n"/>
      <c r="I74" s="8" t="n"/>
      <c r="J74" s="8" t="n"/>
      <c r="K74" s="8" t="n"/>
      <c r="L74" s="10">
        <f>IF(COUNT(J74:K74)=2,(J74*Parametros!$B$3+K74*Parametros!$B$4)/1000000*Parametros!$B$5,"")</f>
        <v/>
      </c>
      <c r="M74" s="8" t="n"/>
      <c r="N74" s="8" t="n"/>
      <c r="O74" s="8" t="n"/>
      <c r="P74" s="8" t="n"/>
      <c r="Q74" s="8" t="n"/>
      <c r="R74" s="9">
        <f>IF(COUNT(M74:Q74)=5,SUM(M74:Q74),"")</f>
        <v/>
      </c>
      <c r="S74" s="8" t="n"/>
      <c r="T74" s="8" t="n"/>
      <c r="U74" s="8" t="n"/>
      <c r="V74" s="11">
        <f>IF(AND(ISNUMBER(T74),T74&gt;0),U74/T74,"")</f>
        <v/>
      </c>
      <c r="W74" s="8" t="n"/>
    </row>
    <row r="75">
      <c r="A75" s="7" t="n">
        <v>24</v>
      </c>
      <c r="B75" s="7" t="inlineStr">
        <is>
          <t>LLM genérico</t>
        </is>
      </c>
      <c r="C75" s="9">
        <f>INDEX(Perguntas!$B$2:$B$26,MATCH(A75,Perguntas!$A$2:$A$26,0))</f>
        <v/>
      </c>
      <c r="D75" s="9">
        <f>INDEX(Perguntas!$C$2:$C$26,MATCH(A75,Perguntas!$A$2:$A$26,0))</f>
        <v/>
      </c>
      <c r="E75" s="8" t="n"/>
      <c r="F75" s="8" t="n"/>
      <c r="G75" s="8" t="n"/>
      <c r="H75" s="8" t="n"/>
      <c r="I75" s="8" t="n"/>
      <c r="J75" s="8" t="n"/>
      <c r="K75" s="8" t="n"/>
      <c r="L75" s="10">
        <f>IF(COUNT(J75:K75)=2,(J75*Parametros!$B$3+K75*Parametros!$B$4)/1000000*Parametros!$B$5,"")</f>
        <v/>
      </c>
      <c r="M75" s="8" t="n"/>
      <c r="N75" s="8" t="n"/>
      <c r="O75" s="8" t="n"/>
      <c r="P75" s="8" t="n"/>
      <c r="Q75" s="8" t="n"/>
      <c r="R75" s="9">
        <f>IF(COUNT(M75:Q75)=5,SUM(M75:Q75),"")</f>
        <v/>
      </c>
      <c r="S75" s="8" t="n"/>
      <c r="T75" s="8" t="n"/>
      <c r="U75" s="8" t="n"/>
      <c r="V75" s="11">
        <f>IF(AND(ISNUMBER(T75),T75&gt;0),U75/T75,"")</f>
        <v/>
      </c>
      <c r="W75" s="8" t="n"/>
    </row>
    <row r="76">
      <c r="A76" s="7" t="n">
        <v>25</v>
      </c>
      <c r="B76" s="7" t="inlineStr">
        <is>
          <t>LLM genérico</t>
        </is>
      </c>
      <c r="C76" s="9">
        <f>INDEX(Perguntas!$B$2:$B$26,MATCH(A76,Perguntas!$A$2:$A$26,0))</f>
        <v/>
      </c>
      <c r="D76" s="9">
        <f>INDEX(Perguntas!$C$2:$C$26,MATCH(A76,Perguntas!$A$2:$A$26,0))</f>
        <v/>
      </c>
      <c r="E76" s="8" t="n"/>
      <c r="F76" s="8" t="n"/>
      <c r="G76" s="8" t="n"/>
      <c r="H76" s="8" t="n"/>
      <c r="I76" s="8" t="n"/>
      <c r="J76" s="8" t="n"/>
      <c r="K76" s="8" t="n"/>
      <c r="L76" s="10">
        <f>IF(COUNT(J76:K76)=2,(J76*Parametros!$B$3+K76*Parametros!$B$4)/1000000*Parametros!$B$5,"")</f>
        <v/>
      </c>
      <c r="M76" s="8" t="n"/>
      <c r="N76" s="8" t="n"/>
      <c r="O76" s="8" t="n"/>
      <c r="P76" s="8" t="n"/>
      <c r="Q76" s="8" t="n"/>
      <c r="R76" s="9">
        <f>IF(COUNT(M76:Q76)=5,SUM(M76:Q76),"")</f>
        <v/>
      </c>
      <c r="S76" s="8" t="n"/>
      <c r="T76" s="8" t="n"/>
      <c r="U76" s="8" t="n"/>
      <c r="V76" s="11">
        <f>IF(AND(ISNUMBER(T76),T76&gt;0),U76/T76,"")</f>
        <v/>
      </c>
      <c r="W76" s="8" t="n"/>
    </row>
    <row r="77">
      <c r="A77" s="7" t="n">
        <v>1</v>
      </c>
      <c r="B77" s="7" t="inlineStr">
        <is>
          <t>RAG atual</t>
        </is>
      </c>
      <c r="C77" s="9">
        <f>INDEX(Perguntas!$B$2:$B$26,MATCH(A77,Perguntas!$A$2:$A$26,0))</f>
        <v/>
      </c>
      <c r="D77" s="9">
        <f>INDEX(Perguntas!$C$2:$C$26,MATCH(A77,Perguntas!$A$2:$A$26,0))</f>
        <v/>
      </c>
      <c r="E77" s="8" t="inlineStr">
        <is>
          <t>2026-09-23</t>
        </is>
      </c>
      <c r="F77" s="8" t="inlineStr">
        <is>
          <t>groq/openai/gpt-oss-120b k=5 (cdde83a)</t>
        </is>
      </c>
      <c r="G77" s="8" t="inlineStr">
        <is>
          <t>Não encontrado no corpus.</t>
        </is>
      </c>
      <c r="H77" s="8" t="inlineStr">
        <is>
          <t>manual_praticas_cartorarias_1_grau.pdf:p5; curso-159994-aula-10-aeca-completo.pdf:p13; Lei_licitacoes_contratos_administrativos_4ed.pdf:p13; curso-159994-aula-06-bonus-799b-completo.pdf:p23; curso-160250-aula-00-480f-completo.pdf:p4</t>
        </is>
      </c>
      <c r="I77" s="8" t="n">
        <v>2.81</v>
      </c>
      <c r="J77" s="8" t="n">
        <v>1956</v>
      </c>
      <c r="K77" s="8" t="n">
        <v>122</v>
      </c>
      <c r="L77" s="10">
        <f>IF(COUNT(J77:K77)=2,(J77*Parametros!$B$3+K77*Parametros!$B$4)/1000000*Parametros!$B$5,"")</f>
        <v/>
      </c>
      <c r="M77" s="8" t="n"/>
      <c r="N77" s="8" t="n"/>
      <c r="O77" s="8" t="n"/>
      <c r="P77" s="8" t="n"/>
      <c r="Q77" s="8" t="n"/>
      <c r="R77" s="9">
        <f>IF(COUNT(M77:Q77)=5,SUM(M77:Q77),"")</f>
        <v/>
      </c>
      <c r="S77" s="8" t="n"/>
      <c r="T77" s="8" t="n"/>
      <c r="U77" s="8" t="n"/>
      <c r="V77" s="11">
        <f>IF(AND(ISNUMBER(T77),T77&gt;0),U77/T77,"")</f>
        <v/>
      </c>
      <c r="W77" s="8" t="n"/>
    </row>
    <row r="78">
      <c r="A78" s="7" t="n">
        <v>2</v>
      </c>
      <c r="B78" s="7" t="inlineStr">
        <is>
          <t>RAG atual</t>
        </is>
      </c>
      <c r="C78" s="9">
        <f>INDEX(Perguntas!$B$2:$B$26,MATCH(A78,Perguntas!$A$2:$A$26,0))</f>
        <v/>
      </c>
      <c r="D78" s="9">
        <f>INDEX(Perguntas!$C$2:$C$26,MATCH(A78,Perguntas!$A$2:$A$26,0))</f>
        <v/>
      </c>
      <c r="E78" s="8" t="inlineStr">
        <is>
          <t>2026-09-23</t>
        </is>
      </c>
      <c r="F78" s="8" t="inlineStr">
        <is>
          <t>groq/openai/gpt-oss-20b k=5 (cdde83a)</t>
        </is>
      </c>
      <c r="G78" s="8" t="inlineStr">
        <is>
          <t>Não encontrado no corpus.</t>
        </is>
      </c>
      <c r="H78" s="8" t="inlineStr">
        <is>
          <t>curso-160250-aula-01-b2c9-completo.pdf:p115; Lei_licitacoes_contratos_administrativos_4ed.pdf:p51; curso-159994-aula-06-43dd-completo.pdf:p59; curso-159994-aula-02-daa4-completo.pdf:p84; Lei_licitacoes_contratos_administrativos_4ed.pdf:p23</t>
        </is>
      </c>
      <c r="I78" s="8" t="n">
        <v>1.34</v>
      </c>
      <c r="J78" s="8" t="n">
        <v>2045</v>
      </c>
      <c r="K78" s="8" t="n">
        <v>231</v>
      </c>
      <c r="L78" s="10">
        <f>IF(COUNT(J78:K78)=2,(J78*Parametros!$B$3+K78*Parametros!$B$4)/1000000*Parametros!$B$5,"")</f>
        <v/>
      </c>
      <c r="M78" s="8" t="n"/>
      <c r="N78" s="8" t="n"/>
      <c r="O78" s="8" t="n"/>
      <c r="P78" s="8" t="n"/>
      <c r="Q78" s="8" t="n"/>
      <c r="R78" s="9">
        <f>IF(COUNT(M78:Q78)=5,SUM(M78:Q78),"")</f>
        <v/>
      </c>
      <c r="S78" s="8" t="n"/>
      <c r="T78" s="8" t="n"/>
      <c r="U78" s="8" t="n"/>
      <c r="V78" s="11">
        <f>IF(AND(ISNUMBER(T78),T78&gt;0),U78/T78,"")</f>
        <v/>
      </c>
      <c r="W78" s="8" t="n"/>
    </row>
    <row r="79">
      <c r="A79" s="7" t="n">
        <v>3</v>
      </c>
      <c r="B79" s="7" t="inlineStr">
        <is>
          <t>RAG atual</t>
        </is>
      </c>
      <c r="C79" s="9">
        <f>INDEX(Perguntas!$B$2:$B$26,MATCH(A79,Perguntas!$A$2:$A$26,0))</f>
        <v/>
      </c>
      <c r="D79" s="9">
        <f>INDEX(Perguntas!$C$2:$C$26,MATCH(A79,Perguntas!$A$2:$A$26,0))</f>
        <v/>
      </c>
      <c r="E79" s="8" t="inlineStr">
        <is>
          <t>2026-09-23</t>
        </is>
      </c>
      <c r="F79" s="8" t="inlineStr">
        <is>
          <t>groq/openai/gpt-oss-120b k=5 (cdde83a)</t>
        </is>
      </c>
      <c r="G79" s="8" t="inlineStr">
        <is>
          <t>Não encontrado no corpus</t>
        </is>
      </c>
      <c r="H79" s="8" t="inlineStr">
        <is>
          <t>LGPD-2023-ANPD.pdf:p9; curso-159994-aula-02-daa4-completo.pdf:p65; Lei_licitacoes_contratos_administrativos_4ed.pdf:p75; curso-159994-aula-11-d0d4-completo.pdf:p51; curso-159994-aula-02-daa4-completo.pdf:p58</t>
        </is>
      </c>
      <c r="I79" s="8" t="n">
        <v>1.22</v>
      </c>
      <c r="J79" s="8" t="n">
        <v>1971</v>
      </c>
      <c r="K79" s="8" t="n">
        <v>171</v>
      </c>
      <c r="L79" s="10">
        <f>IF(COUNT(J79:K79)=2,(J79*Parametros!$B$3+K79*Parametros!$B$4)/1000000*Parametros!$B$5,"")</f>
        <v/>
      </c>
      <c r="M79" s="8" t="n"/>
      <c r="N79" s="8" t="n"/>
      <c r="O79" s="8" t="n"/>
      <c r="P79" s="8" t="n"/>
      <c r="Q79" s="8" t="n"/>
      <c r="R79" s="9">
        <f>IF(COUNT(M79:Q79)=5,SUM(M79:Q79),"")</f>
        <v/>
      </c>
      <c r="S79" s="8" t="n"/>
      <c r="T79" s="8" t="n"/>
      <c r="U79" s="8" t="n"/>
      <c r="V79" s="11">
        <f>IF(AND(ISNUMBER(T79),T79&gt;0),U79/T79,"")</f>
        <v/>
      </c>
      <c r="W79" s="8" t="n"/>
    </row>
    <row r="80">
      <c r="A80" s="7" t="n">
        <v>4</v>
      </c>
      <c r="B80" s="7" t="inlineStr">
        <is>
          <t>RAG atual</t>
        </is>
      </c>
      <c r="C80" s="9">
        <f>INDEX(Perguntas!$B$2:$B$26,MATCH(A80,Perguntas!$A$2:$A$26,0))</f>
        <v/>
      </c>
      <c r="D80" s="9">
        <f>INDEX(Perguntas!$C$2:$C$26,MATCH(A80,Perguntas!$A$2:$A$26,0))</f>
        <v/>
      </c>
      <c r="E80" s="8" t="inlineStr">
        <is>
          <t>2026-09-23</t>
        </is>
      </c>
      <c r="F80" s="8" t="inlineStr">
        <is>
          <t>groq/openai/gpt-oss-120b k=5 (cdde83a)</t>
        </is>
      </c>
      <c r="G80" s="8" t="inlineStr">
        <is>
          <t>Não encontrado no corpus.</t>
        </is>
      </c>
      <c r="H80" s="8" t="inlineStr">
        <is>
          <t>GTA_executivo_federal_7ed.pdf:p8; gta_executivo_federal_7ed.pdf:p8; cartilha_inss_digital_oabsp.pdf:p34; GTA_executivo_federal_7ed.pdf:p34; gta_executivo_federal_7ed.pdf:p34</t>
        </is>
      </c>
      <c r="I80" s="8" t="n">
        <v>1.32</v>
      </c>
      <c r="J80" s="8" t="n">
        <v>1862</v>
      </c>
      <c r="K80" s="8" t="n">
        <v>148</v>
      </c>
      <c r="L80" s="10">
        <f>IF(COUNT(J80:K80)=2,(J80*Parametros!$B$3+K80*Parametros!$B$4)/1000000*Parametros!$B$5,"")</f>
        <v/>
      </c>
      <c r="M80" s="8" t="n"/>
      <c r="N80" s="8" t="n"/>
      <c r="O80" s="8" t="n"/>
      <c r="P80" s="8" t="n"/>
      <c r="Q80" s="8" t="n"/>
      <c r="R80" s="9">
        <f>IF(COUNT(M80:Q80)=5,SUM(M80:Q80),"")</f>
        <v/>
      </c>
      <c r="S80" s="8" t="n"/>
      <c r="T80" s="8" t="n"/>
      <c r="U80" s="8" t="n"/>
      <c r="V80" s="11">
        <f>IF(AND(ISNUMBER(T80),T80&gt;0),U80/T80,"")</f>
        <v/>
      </c>
      <c r="W80" s="8" t="n"/>
    </row>
    <row r="81">
      <c r="A81" s="7" t="n">
        <v>5</v>
      </c>
      <c r="B81" s="7" t="inlineStr">
        <is>
          <t>RAG atual</t>
        </is>
      </c>
      <c r="C81" s="9">
        <f>INDEX(Perguntas!$B$2:$B$26,MATCH(A81,Perguntas!$A$2:$A$26,0))</f>
        <v/>
      </c>
      <c r="D81" s="9">
        <f>INDEX(Perguntas!$C$2:$C$26,MATCH(A81,Perguntas!$A$2:$A$26,0))</f>
        <v/>
      </c>
      <c r="E81" s="8" t="inlineStr">
        <is>
          <t>2026-09-23</t>
        </is>
      </c>
      <c r="F81" s="8" t="inlineStr">
        <is>
          <t>groq/openai/gpt-oss-20b k=5 (cdde83a)</t>
        </is>
      </c>
      <c r="G81" s="8" t="inlineStr">
        <is>
          <t>**Não encontrado no corpus**</t>
        </is>
      </c>
      <c r="H81" s="8" t="inlineStr">
        <is>
          <t>manual_praticas_cartorarias_1_grau.pdf:p27; GTA_executivo_federal_7ed.pdf:p28; gta_executivo_federal_7ed.pdf:p28; LGPD-2023-ANPD.pdf:p9; GTA_executivo_federal_7ed.pdf:p29</t>
        </is>
      </c>
      <c r="I81" s="8" t="n">
        <v>1.66</v>
      </c>
      <c r="J81" s="8" t="n">
        <v>1882</v>
      </c>
      <c r="K81" s="8" t="n">
        <v>104</v>
      </c>
      <c r="L81" s="10">
        <f>IF(COUNT(J81:K81)=2,(J81*Parametros!$B$3+K81*Parametros!$B$4)/1000000*Parametros!$B$5,"")</f>
        <v/>
      </c>
      <c r="M81" s="8" t="n"/>
      <c r="N81" s="8" t="n"/>
      <c r="O81" s="8" t="n"/>
      <c r="P81" s="8" t="n"/>
      <c r="Q81" s="8" t="n"/>
      <c r="R81" s="9">
        <f>IF(COUNT(M81:Q81)=5,SUM(M81:Q81),"")</f>
        <v/>
      </c>
      <c r="S81" s="8" t="n"/>
      <c r="T81" s="8" t="n"/>
      <c r="U81" s="8" t="n"/>
      <c r="V81" s="11">
        <f>IF(AND(ISNUMBER(T81),T81&gt;0),U81/T81,"")</f>
        <v/>
      </c>
      <c r="W81" s="8" t="n"/>
    </row>
    <row r="82">
      <c r="A82" s="7" t="n">
        <v>6</v>
      </c>
      <c r="B82" s="7" t="inlineStr">
        <is>
          <t>RAG atual</t>
        </is>
      </c>
      <c r="C82" s="9">
        <f>INDEX(Perguntas!$B$2:$B$26,MATCH(A82,Perguntas!$A$2:$A$26,0))</f>
        <v/>
      </c>
      <c r="D82" s="9">
        <f>INDEX(Perguntas!$C$2:$C$26,MATCH(A82,Perguntas!$A$2:$A$26,0))</f>
        <v/>
      </c>
      <c r="E82" s="8" t="inlineStr">
        <is>
          <t>2026-09-23</t>
        </is>
      </c>
      <c r="F82" s="8" t="inlineStr">
        <is>
          <t>groq/openai/gpt-oss-20b k=5 (cdde83a)</t>
        </is>
      </c>
      <c r="G82" s="8" t="inlineStr">
        <is>
          <t>Não encontrado no corpus.</t>
        </is>
      </c>
      <c r="H82" s="8" t="inlineStr">
        <is>
          <t>inss_beneficios.pdf:p1; cartilha_inss_digital_oabsp.pdf:p18; cartilha_inss_digital_oabsp.pdf:p42; GTA_executivo_federal_7ed.pdf:p40; gta_executivo_federal_7ed.pdf:p40</t>
        </is>
      </c>
      <c r="I82" s="8" t="n">
        <v>8.210000000000001</v>
      </c>
      <c r="J82" s="8" t="n">
        <v>1592</v>
      </c>
      <c r="K82" s="8" t="n">
        <v>363</v>
      </c>
      <c r="L82" s="10">
        <f>IF(COUNT(J82:K82)=2,(J82*Parametros!$B$3+K82*Parametros!$B$4)/1000000*Parametros!$B$5,"")</f>
        <v/>
      </c>
      <c r="M82" s="8" t="n"/>
      <c r="N82" s="8" t="n"/>
      <c r="O82" s="8" t="n"/>
      <c r="P82" s="8" t="n"/>
      <c r="Q82" s="8" t="n"/>
      <c r="R82" s="9">
        <f>IF(COUNT(M82:Q82)=5,SUM(M82:Q82),"")</f>
        <v/>
      </c>
      <c r="S82" s="8" t="n"/>
      <c r="T82" s="8" t="n"/>
      <c r="U82" s="8" t="n"/>
      <c r="V82" s="11">
        <f>IF(AND(ISNUMBER(T82),T82&gt;0),U82/T82,"")</f>
        <v/>
      </c>
      <c r="W82" s="8" t="n"/>
    </row>
    <row r="83">
      <c r="A83" s="7" t="n">
        <v>7</v>
      </c>
      <c r="B83" s="7" t="inlineStr">
        <is>
          <t>RAG atual</t>
        </is>
      </c>
      <c r="C83" s="9">
        <f>INDEX(Perguntas!$B$2:$B$26,MATCH(A83,Perguntas!$A$2:$A$26,0))</f>
        <v/>
      </c>
      <c r="D83" s="9">
        <f>INDEX(Perguntas!$C$2:$C$26,MATCH(A83,Perguntas!$A$2:$A$26,0))</f>
        <v/>
      </c>
      <c r="E83" s="8" t="inlineStr">
        <is>
          <t>2026-09-23</t>
        </is>
      </c>
      <c r="F83" s="8" t="inlineStr">
        <is>
          <t>groq/openai/gpt-oss-20b k=5 (cdde83a)</t>
        </is>
      </c>
      <c r="G83" s="8" t="inlineStr">
        <is>
          <t>Não encontrado no corpus.</t>
        </is>
      </c>
      <c r="H83" s="8" t="inlineStr">
        <is>
          <t>manual_praticas_cartorarias_1_grau.pdf:p40; curso-159994-aula-23-d320-completo.pdf:p8; curso-159994-aula-23-d320-completo.pdf:p36; curso-159994-aula-07-292a-completo.pdf:p102; curso-159994-aula-07-292a-completo.pdf:p76</t>
        </is>
      </c>
      <c r="I83" s="8" t="n">
        <v>13.87</v>
      </c>
      <c r="J83" s="8" t="n">
        <v>1792</v>
      </c>
      <c r="K83" s="8" t="n">
        <v>163</v>
      </c>
      <c r="L83" s="10">
        <f>IF(COUNT(J83:K83)=2,(J83*Parametros!$B$3+K83*Parametros!$B$4)/1000000*Parametros!$B$5,"")</f>
        <v/>
      </c>
      <c r="M83" s="8" t="n"/>
      <c r="N83" s="8" t="n"/>
      <c r="O83" s="8" t="n"/>
      <c r="P83" s="8" t="n"/>
      <c r="Q83" s="8" t="n"/>
      <c r="R83" s="9">
        <f>IF(COUNT(M83:Q83)=5,SUM(M83:Q83),"")</f>
        <v/>
      </c>
      <c r="S83" s="8" t="n"/>
      <c r="T83" s="8" t="n"/>
      <c r="U83" s="8" t="n"/>
      <c r="V83" s="11">
        <f>IF(AND(ISNUMBER(T83),T83&gt;0),U83/T83,"")</f>
        <v/>
      </c>
      <c r="W83" s="8" t="n"/>
    </row>
    <row r="84">
      <c r="A84" s="7" t="n">
        <v>8</v>
      </c>
      <c r="B84" s="7" t="inlineStr">
        <is>
          <t>RAG atual</t>
        </is>
      </c>
      <c r="C84" s="9">
        <f>INDEX(Perguntas!$B$2:$B$26,MATCH(A84,Perguntas!$A$2:$A$26,0))</f>
        <v/>
      </c>
      <c r="D84" s="9">
        <f>INDEX(Perguntas!$C$2:$C$26,MATCH(A84,Perguntas!$A$2:$A$26,0))</f>
        <v/>
      </c>
      <c r="E84" s="8" t="inlineStr">
        <is>
          <t>2026-09-23</t>
        </is>
      </c>
      <c r="F84" s="8" t="inlineStr">
        <is>
          <t>groq/openai/gpt-oss-120b k=5 (cdde83a)</t>
        </is>
      </c>
      <c r="G84" s="8" t="inlineStr">
        <is>
          <t>Não encontrado no corpus</t>
        </is>
      </c>
      <c r="H84" s="8" t="inlineStr">
        <is>
          <t>Lei_licitacoes_contratos_administrativos_4ed.pdf:p141; LGPD-2023-ANPD.pdf:p48; curso-159994-aula-24-bf9f-completo.pdf:p63; GTA_executivo_federal_7ed.pdf:p31; gta_executivo_federal_7ed.pdf:p31</t>
        </is>
      </c>
      <c r="I84" s="8" t="n">
        <v>1.33</v>
      </c>
      <c r="J84" s="8" t="n">
        <v>1938</v>
      </c>
      <c r="K84" s="8" t="n">
        <v>242</v>
      </c>
      <c r="L84" s="10">
        <f>IF(COUNT(J84:K84)=2,(J84*Parametros!$B$3+K84*Parametros!$B$4)/1000000*Parametros!$B$5,"")</f>
        <v/>
      </c>
      <c r="M84" s="8" t="n"/>
      <c r="N84" s="8" t="n"/>
      <c r="O84" s="8" t="n"/>
      <c r="P84" s="8" t="n"/>
      <c r="Q84" s="8" t="n"/>
      <c r="R84" s="9">
        <f>IF(COUNT(M84:Q84)=5,SUM(M84:Q84),"")</f>
        <v/>
      </c>
      <c r="S84" s="8" t="n"/>
      <c r="T84" s="8" t="n"/>
      <c r="U84" s="8" t="n"/>
      <c r="V84" s="11">
        <f>IF(AND(ISNUMBER(T84),T84&gt;0),U84/T84,"")</f>
        <v/>
      </c>
      <c r="W84" s="8" t="n"/>
    </row>
    <row r="85">
      <c r="A85" s="7" t="n">
        <v>9</v>
      </c>
      <c r="B85" s="7" t="inlineStr">
        <is>
          <t>RAG atual</t>
        </is>
      </c>
      <c r="C85" s="9">
        <f>INDEX(Perguntas!$B$2:$B$26,MATCH(A85,Perguntas!$A$2:$A$26,0))</f>
        <v/>
      </c>
      <c r="D85" s="9">
        <f>INDEX(Perguntas!$C$2:$C$26,MATCH(A85,Perguntas!$A$2:$A$26,0))</f>
        <v/>
      </c>
      <c r="E85" s="8" t="inlineStr">
        <is>
          <t>2026-09-23</t>
        </is>
      </c>
      <c r="F85" s="8" t="inlineStr">
        <is>
          <t>groq/openai/gpt-oss-20b k=5 (cdde83a)</t>
        </is>
      </c>
      <c r="G85" s="8" t="inlineStr">
        <is>
          <t>**Resposta**
Para que a polícia possa obter dados de um proprietário por ofício, é necessário observar as disposições legais que regulam o acesso a dados pessoais e a atuação policial.  
**1. Princípio da Necessidade e da Finalidade**  
- **LGPD**: o tratamento de dados pessoais só pode ocorrer quando houver uma base legal (art. 5º).  
- **Polícia**: a coleta de dados deve estar vinculada a uma finalidade legítima, como investigação de infração de trânsito ou de crime.
**2. Necessidade de Ordem Judicial ou Autorização Legal**  
- **CPC**: a citação e a obtenção de documentos de terceiros normalmente requerem **ordem judicial** (art. 225).  
- **CTB**: não há previsão específica que autorize a polícia a solicitar dados de proprietários sem ordem judicial; a lei exige que a informação seja obtida por meio de procedimento legalmente previsto.  
**3. Procedimento a Seguir**  
- **Rejeitar** o ofício se não houver ordem judicial ou base legal clara.  
- **Solicitar** à autoridade policial que apresente a **ordem judicial** ou outro documento que comprove a base legal (por exemplo, autorização de investigação criminal).  
- **Verificar** se existe alguma norma específica que autorize a polícia a acessar dados sem ordem judicial (ex.: Lei de Execução Penal, Lei de Segurança Pública). Se existir, seguir o procedimento previsto.  
**4. Caso a Ordem Judicial Não Esteja Disponível**  
- **Encaminhar** o pedido ao juiz competente para que seja emitida a ordem de acesso aos dados.  
- **Manter** o sigilo e a confidencialidade dos dados, conforme exigido pela LGPD.  
**Resumo em Lista**  
- **LGPD**: exigir base legal (consentimento, obrigação legal, etc.).  
- **CPC**: requer ordem judicial para obtenção de dados de terceiros.  
- **CTB**: não autoriza acesso sem ordem judicial.  
- **Procedimento**: rejeitar ofício sem ordem, solicitar ordem judicial ou verificar norma específica que autorize.  
---  
Se houver alguma dúvida adicional sobre a base legal específica ou sobre a necessidade de autorização judicial, consulte o órgão jurídico competente.</t>
        </is>
      </c>
      <c r="H85" s="8" t="inlineStr">
        <is>
          <t>curso-159994-aula-04-b323-completo.pdf:p36; curso-159994-aula-04-b323-completo.pdf:p45; LGPD-2023-ANPD.pdf:p13; manual_praticas_cartorarias_1_grau.pdf:p32; curso-159994-aula-04-b323-completo.pdf:p35</t>
        </is>
      </c>
      <c r="I85" s="8" t="n">
        <v>8.26</v>
      </c>
      <c r="J85" s="8" t="n">
        <v>1882</v>
      </c>
      <c r="K85" s="8" t="n">
        <v>905</v>
      </c>
      <c r="L85" s="10">
        <f>IF(COUNT(J85:K85)=2,(J85*Parametros!$B$3+K85*Parametros!$B$4)/1000000*Parametros!$B$5,"")</f>
        <v/>
      </c>
      <c r="M85" s="8" t="n"/>
      <c r="N85" s="8" t="n"/>
      <c r="O85" s="8" t="n"/>
      <c r="P85" s="8" t="n"/>
      <c r="Q85" s="8" t="n"/>
      <c r="R85" s="9">
        <f>IF(COUNT(M85:Q85)=5,SUM(M85:Q85),"")</f>
        <v/>
      </c>
      <c r="S85" s="8" t="n"/>
      <c r="T85" s="8" t="n"/>
      <c r="U85" s="8" t="n"/>
      <c r="V85" s="11">
        <f>IF(AND(ISNUMBER(T85),T85&gt;0),U85/T85,"")</f>
        <v/>
      </c>
      <c r="W85" s="8" t="n"/>
    </row>
    <row r="86">
      <c r="A86" s="7" t="n">
        <v>10</v>
      </c>
      <c r="B86" s="7" t="inlineStr">
        <is>
          <t>RAG atual</t>
        </is>
      </c>
      <c r="C86" s="9">
        <f>INDEX(Perguntas!$B$2:$B$26,MATCH(A86,Perguntas!$A$2:$A$26,0))</f>
        <v/>
      </c>
      <c r="D86" s="9">
        <f>INDEX(Perguntas!$C$2:$C$26,MATCH(A86,Perguntas!$A$2:$A$26,0))</f>
        <v/>
      </c>
      <c r="E86" s="8" t="inlineStr">
        <is>
          <t>2026-09-23</t>
        </is>
      </c>
      <c r="F86" s="8" t="inlineStr">
        <is>
          <t>groq/openai/gpt-oss-20b k=5 (cdde83a)</t>
        </is>
      </c>
      <c r="G86" s="8" t="inlineStr">
        <is>
          <t>**Não encontrado no corpus**</t>
        </is>
      </c>
      <c r="H86" s="8" t="inlineStr">
        <is>
          <t>GTA_executivo_federal_7ed.pdf:p49; gta_executivo_federal_7ed.pdf:p49; curso-159994-aula-21-f255-completo.pdf:p10; LGPD-2023-ANPD.pdf:p25; Lei_licitacoes_contratos_administrativos_4ed.pdf:p78</t>
        </is>
      </c>
      <c r="I86" s="8" t="n">
        <v>18.06</v>
      </c>
      <c r="J86" s="8" t="n">
        <v>1682</v>
      </c>
      <c r="K86" s="8" t="n">
        <v>97</v>
      </c>
      <c r="L86" s="10">
        <f>IF(COUNT(J86:K86)=2,(J86*Parametros!$B$3+K86*Parametros!$B$4)/1000000*Parametros!$B$5,"")</f>
        <v/>
      </c>
      <c r="M86" s="8" t="n"/>
      <c r="N86" s="8" t="n"/>
      <c r="O86" s="8" t="n"/>
      <c r="P86" s="8" t="n"/>
      <c r="Q86" s="8" t="n"/>
      <c r="R86" s="9">
        <f>IF(COUNT(M86:Q86)=5,SUM(M86:Q86),"")</f>
        <v/>
      </c>
      <c r="S86" s="8" t="n"/>
      <c r="T86" s="8" t="n"/>
      <c r="U86" s="8" t="n"/>
      <c r="V86" s="11">
        <f>IF(AND(ISNUMBER(T86),T86&gt;0),U86/T86,"")</f>
        <v/>
      </c>
      <c r="W86" s="8" t="n"/>
    </row>
    <row r="87">
      <c r="A87" s="7" t="n">
        <v>11</v>
      </c>
      <c r="B87" s="7" t="inlineStr">
        <is>
          <t>RAG atual</t>
        </is>
      </c>
      <c r="C87" s="9">
        <f>INDEX(Perguntas!$B$2:$B$26,MATCH(A87,Perguntas!$A$2:$A$26,0))</f>
        <v/>
      </c>
      <c r="D87" s="9">
        <f>INDEX(Perguntas!$C$2:$C$26,MATCH(A87,Perguntas!$A$2:$A$26,0))</f>
        <v/>
      </c>
      <c r="E87" s="8" t="inlineStr">
        <is>
          <t>2026-09-23</t>
        </is>
      </c>
      <c r="F87" s="8" t="inlineStr">
        <is>
          <t>groq/openai/gpt-oss-120b k=5 (cdde83a)</t>
        </is>
      </c>
      <c r="G87" s="8" t="inlineStr">
        <is>
          <t>Não encontrado no corpus</t>
        </is>
      </c>
      <c r="H87" s="8" t="inlineStr">
        <is>
          <t>GTA_executivo_federal_7ed.pdf:p62; gta_executivo_federal_7ed.pdf:p62; GTA_executivo_federal_7ed.pdf:p52; gta_executivo_federal_7ed.pdf:p52; GTA_executivo_federal_7ed.pdf:p38</t>
        </is>
      </c>
      <c r="I87" s="8" t="n">
        <v>1.49</v>
      </c>
      <c r="J87" s="8" t="n">
        <v>1789</v>
      </c>
      <c r="K87" s="8" t="n">
        <v>147</v>
      </c>
      <c r="L87" s="10">
        <f>IF(COUNT(J87:K87)=2,(J87*Parametros!$B$3+K87*Parametros!$B$4)/1000000*Parametros!$B$5,"")</f>
        <v/>
      </c>
      <c r="M87" s="8" t="n"/>
      <c r="N87" s="8" t="n"/>
      <c r="O87" s="8" t="n"/>
      <c r="P87" s="8" t="n"/>
      <c r="Q87" s="8" t="n"/>
      <c r="R87" s="9">
        <f>IF(COUNT(M87:Q87)=5,SUM(M87:Q87),"")</f>
        <v/>
      </c>
      <c r="S87" s="8" t="n"/>
      <c r="T87" s="8" t="n"/>
      <c r="U87" s="8" t="n"/>
      <c r="V87" s="11">
        <f>IF(AND(ISNUMBER(T87),T87&gt;0),U87/T87,"")</f>
        <v/>
      </c>
      <c r="W87" s="8" t="n"/>
    </row>
    <row r="88">
      <c r="A88" s="7" t="n">
        <v>12</v>
      </c>
      <c r="B88" s="7" t="inlineStr">
        <is>
          <t>RAG atual</t>
        </is>
      </c>
      <c r="C88" s="9">
        <f>INDEX(Perguntas!$B$2:$B$26,MATCH(A88,Perguntas!$A$2:$A$26,0))</f>
        <v/>
      </c>
      <c r="D88" s="9">
        <f>INDEX(Perguntas!$C$2:$C$26,MATCH(A88,Perguntas!$A$2:$A$26,0))</f>
        <v/>
      </c>
      <c r="E88" s="8" t="inlineStr">
        <is>
          <t>2026-09-23</t>
        </is>
      </c>
      <c r="F88" s="8" t="inlineStr">
        <is>
          <t>groq/openai/gpt-oss-20b k=5 (cdde83a)</t>
        </is>
      </c>
      <c r="G88" s="8" t="inlineStr">
        <is>
          <t>Não encontrado no corpus</t>
        </is>
      </c>
      <c r="H88" s="8" t="inlineStr">
        <is>
          <t>GTA_executivo_federal_7ed.pdf:p17; gta_executivo_federal_7ed.pdf:p17; Lei_licitacoes_contratos_administrativos_4ed.pdf:p23; curso-159994-aula-06-43dd-completo.pdf:p56; inss_beneficios.pdf:p1</t>
        </is>
      </c>
      <c r="I88" s="8" t="n">
        <v>7.22</v>
      </c>
      <c r="J88" s="8" t="n">
        <v>1560</v>
      </c>
      <c r="K88" s="8" t="n">
        <v>201</v>
      </c>
      <c r="L88" s="10">
        <f>IF(COUNT(J88:K88)=2,(J88*Parametros!$B$3+K88*Parametros!$B$4)/1000000*Parametros!$B$5,"")</f>
        <v/>
      </c>
      <c r="M88" s="8" t="n"/>
      <c r="N88" s="8" t="n"/>
      <c r="O88" s="8" t="n"/>
      <c r="P88" s="8" t="n"/>
      <c r="Q88" s="8" t="n"/>
      <c r="R88" s="9">
        <f>IF(COUNT(M88:Q88)=5,SUM(M88:Q88),"")</f>
        <v/>
      </c>
      <c r="S88" s="8" t="n"/>
      <c r="T88" s="8" t="n"/>
      <c r="U88" s="8" t="n"/>
      <c r="V88" s="11">
        <f>IF(AND(ISNUMBER(T88),T88&gt;0),U88/T88,"")</f>
        <v/>
      </c>
      <c r="W88" s="8" t="n"/>
    </row>
    <row r="89">
      <c r="A89" s="7" t="n">
        <v>13</v>
      </c>
      <c r="B89" s="7" t="inlineStr">
        <is>
          <t>RAG atual</t>
        </is>
      </c>
      <c r="C89" s="9">
        <f>INDEX(Perguntas!$B$2:$B$26,MATCH(A89,Perguntas!$A$2:$A$26,0))</f>
        <v/>
      </c>
      <c r="D89" s="9">
        <f>INDEX(Perguntas!$C$2:$C$26,MATCH(A89,Perguntas!$A$2:$A$26,0))</f>
        <v/>
      </c>
      <c r="E89" s="8" t="inlineStr">
        <is>
          <t>2026-09-23</t>
        </is>
      </c>
      <c r="F89" s="8" t="inlineStr">
        <is>
          <t>groq/openai/gpt-oss-20b k=5 (cdde83a)</t>
        </is>
      </c>
      <c r="G89" s="8" t="inlineStr">
        <is>
          <t>Não encontrado no corpus.</t>
        </is>
      </c>
      <c r="H89" s="8" t="inlineStr">
        <is>
          <t>Lei_licitacoes_contratos_administrativos_4ed.pdf:p119; manual_praticas_cartorarias_1_grau.pdf:p21; Lei_licitacoes_contratos_administrativos_4ed.pdf:p73; curso-159994-aula-02-daa4-completo.pdf:p65; Lei_licitacoes_contratos_administrativos_4ed.pdf:p24</t>
        </is>
      </c>
      <c r="I89" s="8" t="n">
        <v>11.78</v>
      </c>
      <c r="J89" s="8" t="n">
        <v>1628</v>
      </c>
      <c r="K89" s="8" t="n">
        <v>254</v>
      </c>
      <c r="L89" s="10">
        <f>IF(COUNT(J89:K89)=2,(J89*Parametros!$B$3+K89*Parametros!$B$4)/1000000*Parametros!$B$5,"")</f>
        <v/>
      </c>
      <c r="M89" s="8" t="n"/>
      <c r="N89" s="8" t="n"/>
      <c r="O89" s="8" t="n"/>
      <c r="P89" s="8" t="n"/>
      <c r="Q89" s="8" t="n"/>
      <c r="R89" s="9">
        <f>IF(COUNT(M89:Q89)=5,SUM(M89:Q89),"")</f>
        <v/>
      </c>
      <c r="S89" s="8" t="n"/>
      <c r="T89" s="8" t="n"/>
      <c r="U89" s="8" t="n"/>
      <c r="V89" s="11">
        <f>IF(AND(ISNUMBER(T89),T89&gt;0),U89/T89,"")</f>
        <v/>
      </c>
      <c r="W89" s="8" t="n"/>
    </row>
    <row r="90">
      <c r="A90" s="7" t="n">
        <v>14</v>
      </c>
      <c r="B90" s="7" t="inlineStr">
        <is>
          <t>RAG atual</t>
        </is>
      </c>
      <c r="C90" s="9">
        <f>INDEX(Perguntas!$B$2:$B$26,MATCH(A90,Perguntas!$A$2:$A$26,0))</f>
        <v/>
      </c>
      <c r="D90" s="9">
        <f>INDEX(Perguntas!$C$2:$C$26,MATCH(A90,Perguntas!$A$2:$A$26,0))</f>
        <v/>
      </c>
      <c r="E90" s="8" t="inlineStr">
        <is>
          <t>2026-09-23</t>
        </is>
      </c>
      <c r="F90" s="8" t="inlineStr">
        <is>
          <t>groq/openai/gpt-oss-20b k=5 (cdde83a)</t>
        </is>
      </c>
      <c r="G90" s="8" t="inlineStr">
        <is>
          <t>Não encontrado no corpus</t>
        </is>
      </c>
      <c r="H90" s="8" t="inlineStr">
        <is>
          <t>GTA_executivo_federal_7ed.pdf:p61; gta_executivo_federal_7ed.pdf:p61; curso-159994-aula-06-43dd-completo.pdf:p15; curso-159994-aula-14-478b-completo.pdf:p7; curso-159994-aula-02-daa4-completo.pdf:p13</t>
        </is>
      </c>
      <c r="I90" s="8" t="n">
        <v>14.29</v>
      </c>
      <c r="J90" s="8" t="n">
        <v>1915</v>
      </c>
      <c r="K90" s="8" t="n">
        <v>312</v>
      </c>
      <c r="L90" s="10">
        <f>IF(COUNT(J90:K90)=2,(J90*Parametros!$B$3+K90*Parametros!$B$4)/1000000*Parametros!$B$5,"")</f>
        <v/>
      </c>
      <c r="M90" s="8" t="n"/>
      <c r="N90" s="8" t="n"/>
      <c r="O90" s="8" t="n"/>
      <c r="P90" s="8" t="n"/>
      <c r="Q90" s="8" t="n"/>
      <c r="R90" s="9">
        <f>IF(COUNT(M90:Q90)=5,SUM(M90:Q90),"")</f>
        <v/>
      </c>
      <c r="S90" s="8" t="n"/>
      <c r="T90" s="8" t="n"/>
      <c r="U90" s="8" t="n"/>
      <c r="V90" s="11">
        <f>IF(AND(ISNUMBER(T90),T90&gt;0),U90/T90,"")</f>
        <v/>
      </c>
      <c r="W90" s="8" t="n"/>
    </row>
    <row r="91">
      <c r="A91" s="7" t="n">
        <v>15</v>
      </c>
      <c r="B91" s="7" t="inlineStr">
        <is>
          <t>RAG atual</t>
        </is>
      </c>
      <c r="C91" s="9">
        <f>INDEX(Perguntas!$B$2:$B$26,MATCH(A91,Perguntas!$A$2:$A$26,0))</f>
        <v/>
      </c>
      <c r="D91" s="9">
        <f>INDEX(Perguntas!$C$2:$C$26,MATCH(A91,Perguntas!$A$2:$A$26,0))</f>
        <v/>
      </c>
      <c r="E91" s="8" t="inlineStr">
        <is>
          <t>2026-09-23</t>
        </is>
      </c>
      <c r="F91" s="8" t="inlineStr">
        <is>
          <t>groq/openai/gpt-oss-120b k=5 (cdde83a)</t>
        </is>
      </c>
      <c r="G91" s="8" t="inlineStr">
        <is>
          <t>**Não.**  
A cópia do documento contém **dados de saúde**, que são dados pessoais sensíveis. De acordo com a Lei Geral de Proteção de Dados Pessoais (LGPD):
- **Art. 21.** “Os dados pessoais referentes ao exercício regular de direitos pelo titular não podem ser utilizados em seu prejuízo.”  
- **Art. 22.** “A defesa dos interesses e dos direitos dos titulares de dados poderá ser exercida em juízo, individual ou coletivamente, na forma do disposto na legislação pertinente.”  
- **Art. 23.** O tratamento de dados pessoais por entes públicos deve observar a finalidade pública e o interesse legítimo, não podendo ser realizado sem a devida base legal.  
Além disso, a **seção que trata do consentimento** estabelece que o tratamento de dados sensíveis só pode ocorrer mediante **manifestação livre, informada e inequívoca** do titular (**XII – consentimento**).
Portanto, a entrega da cópia só é admissível se:
- houver **consentimento expresso** do titular dos dados de saúde; ou  
- houver **ordem judicial** ou outra hipótese legal que autorize o tratamento sem consentimento.
Na ausência dessas condições, o documento não deve ser fornecido.</t>
        </is>
      </c>
      <c r="H91" s="8" t="inlineStr">
        <is>
          <t>manual_praticas_cartorarias_1_grau.pdf:p37; cartilha_inss_digital_oabsp.pdf:p13; LGPD-2023-ANPD.pdf:p24; LGPD-2023-ANPD.pdf:p11; LGPD-2023-ANPD.pdf:p19</t>
        </is>
      </c>
      <c r="I91" s="8" t="n">
        <v>2.74</v>
      </c>
      <c r="J91" s="8" t="n">
        <v>1939</v>
      </c>
      <c r="K91" s="8" t="n">
        <v>580</v>
      </c>
      <c r="L91" s="10">
        <f>IF(COUNT(J91:K91)=2,(J91*Parametros!$B$3+K91*Parametros!$B$4)/1000000*Parametros!$B$5,"")</f>
        <v/>
      </c>
      <c r="M91" s="8" t="n"/>
      <c r="N91" s="8" t="n"/>
      <c r="O91" s="8" t="n"/>
      <c r="P91" s="8" t="n"/>
      <c r="Q91" s="8" t="n"/>
      <c r="R91" s="9">
        <f>IF(COUNT(M91:Q91)=5,SUM(M91:Q91),"")</f>
        <v/>
      </c>
      <c r="S91" s="8" t="n"/>
      <c r="T91" s="8" t="n"/>
      <c r="U91" s="8" t="n"/>
      <c r="V91" s="11">
        <f>IF(AND(ISNUMBER(T91),T91&gt;0),U91/T91,"")</f>
        <v/>
      </c>
      <c r="W91" s="8" t="n"/>
    </row>
    <row r="92">
      <c r="A92" s="7" t="n">
        <v>16</v>
      </c>
      <c r="B92" s="7" t="inlineStr">
        <is>
          <t>RAG atual</t>
        </is>
      </c>
      <c r="C92" s="9">
        <f>INDEX(Perguntas!$B$2:$B$26,MATCH(A92,Perguntas!$A$2:$A$26,0))</f>
        <v/>
      </c>
      <c r="D92" s="9">
        <f>INDEX(Perguntas!$C$2:$C$26,MATCH(A92,Perguntas!$A$2:$A$26,0))</f>
        <v/>
      </c>
      <c r="E92" s="8" t="inlineStr">
        <is>
          <t>2026-09-23</t>
        </is>
      </c>
      <c r="F92" s="8" t="inlineStr">
        <is>
          <t>groq/openai/gpt-oss-20b k=5 (cdde83a)</t>
        </is>
      </c>
      <c r="G92" s="8" t="inlineStr">
        <is>
          <t>**Não encontrado no corpus**</t>
        </is>
      </c>
      <c r="H92" s="8" t="inlineStr">
        <is>
          <t>cartilha_inss_digital_oabsp.pdf:p18; cartilha_inss_digital_oabsp.pdf:p33; GTA_executivo_federal_7ed.pdf:p35; gta_executivo_federal_7ed.pdf:p35; cartilha_inss_digital_oabsp.pdf:p20</t>
        </is>
      </c>
      <c r="I92" s="8" t="n">
        <v>5.34</v>
      </c>
      <c r="J92" s="8" t="n">
        <v>1789</v>
      </c>
      <c r="K92" s="8" t="n">
        <v>104</v>
      </c>
      <c r="L92" s="10">
        <f>IF(COUNT(J92:K92)=2,(J92*Parametros!$B$3+K92*Parametros!$B$4)/1000000*Parametros!$B$5,"")</f>
        <v/>
      </c>
      <c r="M92" s="8" t="n"/>
      <c r="N92" s="8" t="n"/>
      <c r="O92" s="8" t="n"/>
      <c r="P92" s="8" t="n"/>
      <c r="Q92" s="8" t="n"/>
      <c r="R92" s="9">
        <f>IF(COUNT(M92:Q92)=5,SUM(M92:Q92),"")</f>
        <v/>
      </c>
      <c r="S92" s="8" t="n"/>
      <c r="T92" s="8" t="n"/>
      <c r="U92" s="8" t="n"/>
      <c r="V92" s="11">
        <f>IF(AND(ISNUMBER(T92),T92&gt;0),U92/T92,"")</f>
        <v/>
      </c>
      <c r="W92" s="8" t="n"/>
    </row>
    <row r="93">
      <c r="A93" s="7" t="n">
        <v>17</v>
      </c>
      <c r="B93" s="7" t="inlineStr">
        <is>
          <t>RAG atual</t>
        </is>
      </c>
      <c r="C93" s="9">
        <f>INDEX(Perguntas!$B$2:$B$26,MATCH(A93,Perguntas!$A$2:$A$26,0))</f>
        <v/>
      </c>
      <c r="D93" s="9">
        <f>INDEX(Perguntas!$C$2:$C$26,MATCH(A93,Perguntas!$A$2:$A$26,0))</f>
        <v/>
      </c>
      <c r="E93" s="8" t="inlineStr">
        <is>
          <t>2026-09-23</t>
        </is>
      </c>
      <c r="F93" s="8" t="inlineStr">
        <is>
          <t>groq/openai/gpt-oss-20b k=5 (cdde83a)</t>
        </is>
      </c>
      <c r="G93" s="8" t="inlineStr">
        <is>
          <t>**Não encontrado no corpus**</t>
        </is>
      </c>
      <c r="H93" s="8" t="inlineStr">
        <is>
          <t>LGPD-2023-ANPD.pdf:p16; LGPD-2023-ANPD.pdf:p21; LGPD-2023-ANPD.pdf:p32; LGPD-2023-ANPD.pdf:p7; LGPD-2023-ANPD.pdf:p14</t>
        </is>
      </c>
      <c r="I93" s="8" t="n">
        <v>11.06</v>
      </c>
      <c r="J93" s="8" t="n">
        <v>1716</v>
      </c>
      <c r="K93" s="8" t="n">
        <v>120</v>
      </c>
      <c r="L93" s="10">
        <f>IF(COUNT(J93:K93)=2,(J93*Parametros!$B$3+K93*Parametros!$B$4)/1000000*Parametros!$B$5,"")</f>
        <v/>
      </c>
      <c r="M93" s="8" t="n"/>
      <c r="N93" s="8" t="n"/>
      <c r="O93" s="8" t="n"/>
      <c r="P93" s="8" t="n"/>
      <c r="Q93" s="8" t="n"/>
      <c r="R93" s="9">
        <f>IF(COUNT(M93:Q93)=5,SUM(M93:Q93),"")</f>
        <v/>
      </c>
      <c r="S93" s="8" t="n"/>
      <c r="T93" s="8" t="n"/>
      <c r="U93" s="8" t="n"/>
      <c r="V93" s="11">
        <f>IF(AND(ISNUMBER(T93),T93&gt;0),U93/T93,"")</f>
        <v/>
      </c>
      <c r="W93" s="8" t="n"/>
    </row>
    <row r="94">
      <c r="A94" s="7" t="n">
        <v>18</v>
      </c>
      <c r="B94" s="7" t="inlineStr">
        <is>
          <t>RAG atual</t>
        </is>
      </c>
      <c r="C94" s="9">
        <f>INDEX(Perguntas!$B$2:$B$26,MATCH(A94,Perguntas!$A$2:$A$26,0))</f>
        <v/>
      </c>
      <c r="D94" s="9">
        <f>INDEX(Perguntas!$C$2:$C$26,MATCH(A94,Perguntas!$A$2:$A$26,0))</f>
        <v/>
      </c>
      <c r="E94" s="8" t="inlineStr">
        <is>
          <t>2026-09-23</t>
        </is>
      </c>
      <c r="F94" s="8" t="inlineStr">
        <is>
          <t>groq/openai/gpt-oss-20b k=5 (cdde83a)</t>
        </is>
      </c>
      <c r="G94" s="8" t="inlineStr">
        <is>
          <t>Não encontrado no corpus.</t>
        </is>
      </c>
      <c r="H94" s="8" t="inlineStr">
        <is>
          <t>LGPD-2023-ANPD.pdf:p32; LGPD-2023-ANPD.pdf:p14; LGPD-2023-ANPD.pdf:p10; LGPD-2023-ANPD.pdf:p23</t>
        </is>
      </c>
      <c r="I94" s="8" t="n">
        <v>16.44</v>
      </c>
      <c r="J94" s="8" t="n">
        <v>1726</v>
      </c>
      <c r="K94" s="8" t="n">
        <v>395</v>
      </c>
      <c r="L94" s="10">
        <f>IF(COUNT(J94:K94)=2,(J94*Parametros!$B$3+K94*Parametros!$B$4)/1000000*Parametros!$B$5,"")</f>
        <v/>
      </c>
      <c r="M94" s="8" t="n"/>
      <c r="N94" s="8" t="n"/>
      <c r="O94" s="8" t="n"/>
      <c r="P94" s="8" t="n"/>
      <c r="Q94" s="8" t="n"/>
      <c r="R94" s="9">
        <f>IF(COUNT(M94:Q94)=5,SUM(M94:Q94),"")</f>
        <v/>
      </c>
      <c r="S94" s="8" t="n"/>
      <c r="T94" s="8" t="n"/>
      <c r="U94" s="8" t="n"/>
      <c r="V94" s="11">
        <f>IF(AND(ISNUMBER(T94),T94&gt;0),U94/T94,"")</f>
        <v/>
      </c>
      <c r="W94" s="8" t="n"/>
    </row>
    <row r="95">
      <c r="A95" s="7" t="n">
        <v>19</v>
      </c>
      <c r="B95" s="7" t="inlineStr">
        <is>
          <t>RAG atual</t>
        </is>
      </c>
      <c r="C95" s="9">
        <f>INDEX(Perguntas!$B$2:$B$26,MATCH(A95,Perguntas!$A$2:$A$26,0))</f>
        <v/>
      </c>
      <c r="D95" s="9">
        <f>INDEX(Perguntas!$C$2:$C$26,MATCH(A95,Perguntas!$A$2:$A$26,0))</f>
        <v/>
      </c>
      <c r="E95" s="8" t="inlineStr">
        <is>
          <t>2026-09-23</t>
        </is>
      </c>
      <c r="F95" s="8" t="inlineStr">
        <is>
          <t>groq/openai/gpt-oss-20b k=5 (cdde83a)</t>
        </is>
      </c>
      <c r="G95" s="8" t="inlineStr">
        <is>
          <t>**Resposta**
- **Direito de acesso à informação** – Todos têm direito a receber, no prazo legal, informações de seu interesse particular ou coletivo, contidas em documentos de arquivos.  
- **Obrigação de informar** – Se a solicitação do titular não envolve dados que estejam sujeitos a sigilo imprescindível à segurança da sociedade ou do Estado, o órgão deve disponibilizar o relatório solicitado.  
- **Exceções** – Caso a informação sobre quem consultou a matrícula seja considerada confidencial ou protegida por sigilo, o órgão pode negar o acesso, justificando a restrição conforme a legislação aplicável.</t>
        </is>
      </c>
      <c r="H95" s="8" t="inlineStr">
        <is>
          <t>manual_praticas_cartorarias_1_grau.pdf:p74; GTA_executivo_federal_7ed.pdf:p55; gta_executivo_federal_7ed.pdf:p55; curso-159994-aula-11-d0d4-completo.pdf:p24; gta_executivo_federal_7ed.pdf:p20</t>
        </is>
      </c>
      <c r="I95" s="8" t="n">
        <v>10.57</v>
      </c>
      <c r="J95" s="8" t="n">
        <v>1588</v>
      </c>
      <c r="K95" s="8" t="n">
        <v>885</v>
      </c>
      <c r="L95" s="10">
        <f>IF(COUNT(J95:K95)=2,(J95*Parametros!$B$3+K95*Parametros!$B$4)/1000000*Parametros!$B$5,"")</f>
        <v/>
      </c>
      <c r="M95" s="8" t="n"/>
      <c r="N95" s="8" t="n"/>
      <c r="O95" s="8" t="n"/>
      <c r="P95" s="8" t="n"/>
      <c r="Q95" s="8" t="n"/>
      <c r="R95" s="9">
        <f>IF(COUNT(M95:Q95)=5,SUM(M95:Q95),"")</f>
        <v/>
      </c>
      <c r="S95" s="8" t="n"/>
      <c r="T95" s="8" t="n"/>
      <c r="U95" s="8" t="n"/>
      <c r="V95" s="11">
        <f>IF(AND(ISNUMBER(T95),T95&gt;0),U95/T95,"")</f>
        <v/>
      </c>
      <c r="W95" s="8" t="n"/>
    </row>
    <row r="96">
      <c r="A96" s="7" t="n">
        <v>20</v>
      </c>
      <c r="B96" s="7" t="inlineStr">
        <is>
          <t>RAG atual</t>
        </is>
      </c>
      <c r="C96" s="9">
        <f>INDEX(Perguntas!$B$2:$B$26,MATCH(A96,Perguntas!$A$2:$A$26,0))</f>
        <v/>
      </c>
      <c r="D96" s="9">
        <f>INDEX(Perguntas!$C$2:$C$26,MATCH(A96,Perguntas!$A$2:$A$26,0))</f>
        <v/>
      </c>
      <c r="E96" s="8" t="inlineStr">
        <is>
          <t>2026-09-23</t>
        </is>
      </c>
      <c r="F96" s="8" t="inlineStr">
        <is>
          <t>groq/openai/gpt-oss-120b k=5 (cdde83a)</t>
        </is>
      </c>
      <c r="G96" s="8" t="inlineStr">
        <is>
          <t>**Art. 18.** O titular dos dados pessoais tem direito a obter do controlador, em relação aos dados do titular por ele tratados, a qualquer momento e mediante requisição:
- **III** — correção de dados incompletos, inexatos ou desatualizados.
---
### Procedimento a ser adotado
1. **Recebimento da requisição**  
   - O titular manifesta, por escrito ou por meio eletrônico, a necessidade de correção do dado errado na matrícula.
2. **Identificação do controlador**  
   - Verificar qual pessoa jurídica ou natural está realizando o tratamento da matrícula e, portanto, é responsável por atender ao pedido.
3. **Análise da solicitação**  
   - Confirmar que o dado apontado como incorreto está realmente incompleto, inexato ou desatualizado, conforme previsto no inciso **III** do art. 18.
4. **Execução da correção (retificação)**  
   - Proceder à retificação do registro da matrícula, garantindo que a informação correta passe a constar nos sistemas do controlador.
5. **Comunicação ao titular**  
   - Informar ao titular que a correção foi efetuada, indicando a data e a natureza da alteração realizada.
6. **Documentação**  
   - Arquivar a requisição e a comprovação da correção para fins de auditoria e demonstração de conformidade com a LGPD.
---
**Conclusão:**  
O pedido do titular trata‑se de um **pedido de correção de dados** previsto no **inciso III do art. 18 da LGPD**, devendo ser atendido mediante o procedimento de **retificação** do registro da matrícula.</t>
        </is>
      </c>
      <c r="H96" s="8" t="inlineStr">
        <is>
          <t>LGPD-2023-ANPD.pdf:p32; LGPD-2023-ANPD.pdf:p21; LGPD-2023-ANPD.pdf:p11; LGPD-2023-ANPD.pdf:p8; LGPD-2023-ANPD.pdf:p16</t>
        </is>
      </c>
      <c r="I96" s="8" t="n">
        <v>2.21</v>
      </c>
      <c r="J96" s="8" t="n">
        <v>1942</v>
      </c>
      <c r="K96" s="8" t="n">
        <v>528</v>
      </c>
      <c r="L96" s="10">
        <f>IF(COUNT(J96:K96)=2,(J96*Parametros!$B$3+K96*Parametros!$B$4)/1000000*Parametros!$B$5,"")</f>
        <v/>
      </c>
      <c r="M96" s="8" t="n"/>
      <c r="N96" s="8" t="n"/>
      <c r="O96" s="8" t="n"/>
      <c r="P96" s="8" t="n"/>
      <c r="Q96" s="8" t="n"/>
      <c r="R96" s="9">
        <f>IF(COUNT(M96:Q96)=5,SUM(M96:Q96),"")</f>
        <v/>
      </c>
      <c r="S96" s="8" t="n"/>
      <c r="T96" s="8" t="n"/>
      <c r="U96" s="8" t="n"/>
      <c r="V96" s="11">
        <f>IF(AND(ISNUMBER(T96),T96&gt;0),U96/T96,"")</f>
        <v/>
      </c>
      <c r="W96" s="8" t="n"/>
    </row>
    <row r="97">
      <c r="A97" s="7" t="n">
        <v>21</v>
      </c>
      <c r="B97" s="7" t="inlineStr">
        <is>
          <t>RAG atual</t>
        </is>
      </c>
      <c r="C97" s="9">
        <f>INDEX(Perguntas!$B$2:$B$26,MATCH(A97,Perguntas!$A$2:$A$26,0))</f>
        <v/>
      </c>
      <c r="D97" s="9">
        <f>INDEX(Perguntas!$C$2:$C$26,MATCH(A97,Perguntas!$A$2:$A$26,0))</f>
        <v/>
      </c>
      <c r="E97" s="8" t="inlineStr">
        <is>
          <t>2026-09-23</t>
        </is>
      </c>
      <c r="F97" s="8" t="inlineStr">
        <is>
          <t>groq/openai/gpt-oss-120b k=5 (cdde83a)</t>
        </is>
      </c>
      <c r="G97" s="8" t="inlineStr">
        <is>
          <t>Não encontrado no corpus</t>
        </is>
      </c>
      <c r="H97" s="8" t="inlineStr">
        <is>
          <t>GTA_executivo_federal_7ed.pdf:p23; gta_executivo_federal_7ed.pdf:p23; LGPD-2023-ANPD.pdf:p11; GTA_executivo_federal_7ed.pdf:p63; gta_executivo_federal_7ed.pdf:p63</t>
        </is>
      </c>
      <c r="I97" s="8" t="n">
        <v>2.09</v>
      </c>
      <c r="J97" s="8" t="n">
        <v>2052</v>
      </c>
      <c r="K97" s="8" t="n">
        <v>191</v>
      </c>
      <c r="L97" s="10">
        <f>IF(COUNT(J97:K97)=2,(J97*Parametros!$B$3+K97*Parametros!$B$4)/1000000*Parametros!$B$5,"")</f>
        <v/>
      </c>
      <c r="M97" s="8" t="n"/>
      <c r="N97" s="8" t="n"/>
      <c r="O97" s="8" t="n"/>
      <c r="P97" s="8" t="n"/>
      <c r="Q97" s="8" t="n"/>
      <c r="R97" s="9">
        <f>IF(COUNT(M97:Q97)=5,SUM(M97:Q97),"")</f>
        <v/>
      </c>
      <c r="S97" s="8" t="n"/>
      <c r="T97" s="8" t="n"/>
      <c r="U97" s="8" t="n"/>
      <c r="V97" s="11">
        <f>IF(AND(ISNUMBER(T97),T97&gt;0),U97/T97,"")</f>
        <v/>
      </c>
      <c r="W97" s="8" t="n"/>
    </row>
    <row r="98">
      <c r="A98" s="7" t="n">
        <v>22</v>
      </c>
      <c r="B98" s="7" t="inlineStr">
        <is>
          <t>RAG atual</t>
        </is>
      </c>
      <c r="C98" s="9">
        <f>INDEX(Perguntas!$B$2:$B$26,MATCH(A98,Perguntas!$A$2:$A$26,0))</f>
        <v/>
      </c>
      <c r="D98" s="9">
        <f>INDEX(Perguntas!$C$2:$C$26,MATCH(A98,Perguntas!$A$2:$A$26,0))</f>
        <v/>
      </c>
      <c r="E98" s="8" t="inlineStr">
        <is>
          <t>2026-09-23</t>
        </is>
      </c>
      <c r="F98" s="8" t="inlineStr">
        <is>
          <t>groq/openai/gpt-oss-120b k=5 (cdde83a)</t>
        </is>
      </c>
      <c r="G98" s="8" t="inlineStr">
        <is>
          <t>**Art. 8.** O consentimento do titular deve ser fornecido por escrito ou por outro meio que demonstre a manifestação de vontade, sendo vedado o tratamento mediante vício de consentimento.  
§ 2º Cabe ao controlador o ônus da prova de que o consentimento foi obtido em conformidade com o disposto nesta Lei.  
**Art. 11.** O tratamento de dados pessoais sensíveis somente poderá ocorrer nas seguintes hipóteses:
- **I** – quando o titular ou seu responsável legal consentir, de forma específica e destacada, para finalidades específicas;  
- **II** – sem fornecimento de consentimento do titular, nas hipóteses em que for indispensável para:  
  - **a** – cumprimento de obrigação legal ou regulatória pelo controlador;  
  - **b** – tratamento compartilhado de dados necessários à execução, pela administração pública, de políticas públicas previstas em leis ou regulamentos;  
  - **c** – realização de estudos por órgão de pesquisa, garantida, sempre que possível, a anonimização dos dados pessoais sensíveis.  
---  
### Aplicação ao compartilhamento com ONR/SREI e centrais eletrônicas
- Se o compartilhamento for **necessário para o cumprimento de obrigação legal ou regulatória** (por exemplo, exigido por normas que regulam a atuação do órgão ou por decisões judiciais), ele se enquadra na alínea **II‑a** do **Art. 11** e **não exige consentimento** do titular.  
- Quando o compartilhamento for **destinado à execução de políticas públicas** ou à prestação de serviços públicos por parte da administração, ele se ampara na alínea **II‑b** do **Art. 11**, também dispensando consentimento.  
- Caso nenhuma dessas hipóteses se aplique e o tratamento não seja indispensável para a finalidade descrita, será necessário obter **consentimento** conforme o **caput** e o **inciso I** do **Art. 8**.  
---  
**Conclusão:**  
Para o compartilhamento de dados com ONR/SREI e centrais eletrônicas, **não é obrigatória a obtenção de consentimento** quando o tratamento se justifica pelo cumprimento de obrigação legal ou regulatória ou pela execução de políticas públicas, nos termos do **Art. 11, incisos II‑a e II‑b**. Em situações fora dessas hipóteses, será necessária a coleta de consentimento válido conforme o **Art. 8**.</t>
        </is>
      </c>
      <c r="H98" s="8" t="inlineStr">
        <is>
          <t>LGPD-2023-ANPD.pdf:p15; LGPD-2023-ANPD.pdf:p17; GTA_executivo_federal_7ed.pdf:p16; gta_executivo_federal_7ed.pdf:p16; LGPD-2023-ANPD.pdf:p22</t>
        </is>
      </c>
      <c r="I98" s="8" t="n">
        <v>3.14</v>
      </c>
      <c r="J98" s="8" t="n">
        <v>1849</v>
      </c>
      <c r="K98" s="8" t="n">
        <v>770</v>
      </c>
      <c r="L98" s="10">
        <f>IF(COUNT(J98:K98)=2,(J98*Parametros!$B$3+K98*Parametros!$B$4)/1000000*Parametros!$B$5,"")</f>
        <v/>
      </c>
      <c r="M98" s="8" t="n"/>
      <c r="N98" s="8" t="n"/>
      <c r="O98" s="8" t="n"/>
      <c r="P98" s="8" t="n"/>
      <c r="Q98" s="8" t="n"/>
      <c r="R98" s="9">
        <f>IF(COUNT(M98:Q98)=5,SUM(M98:Q98),"")</f>
        <v/>
      </c>
      <c r="S98" s="8" t="n"/>
      <c r="T98" s="8" t="n"/>
      <c r="U98" s="8" t="n"/>
      <c r="V98" s="11">
        <f>IF(AND(ISNUMBER(T98),T98&gt;0),U98/T98,"")</f>
        <v/>
      </c>
      <c r="W98" s="8" t="n"/>
    </row>
    <row r="99">
      <c r="A99" s="7" t="n">
        <v>23</v>
      </c>
      <c r="B99" s="7" t="inlineStr">
        <is>
          <t>RAG atual</t>
        </is>
      </c>
      <c r="C99" s="9">
        <f>INDEX(Perguntas!$B$2:$B$26,MATCH(A99,Perguntas!$A$2:$A$26,0))</f>
        <v/>
      </c>
      <c r="D99" s="9">
        <f>INDEX(Perguntas!$C$2:$C$26,MATCH(A99,Perguntas!$A$2:$A$26,0))</f>
        <v/>
      </c>
      <c r="E99" s="8" t="inlineStr">
        <is>
          <t>2026-09-23</t>
        </is>
      </c>
      <c r="F99" s="8" t="inlineStr">
        <is>
          <t>groq/openai/gpt-oss-20b k=5 (cdde83a)</t>
        </is>
      </c>
      <c r="G99" s="8" t="inlineStr">
        <is>
          <t>**Não encontrado no corpus**</t>
        </is>
      </c>
      <c r="H99" s="8" t="inlineStr">
        <is>
          <t>manual_praticas_cartorarias_1_grau.pdf:p59; curso-159994-aula-05-561e-completo.pdf:p5; LGPD-2023-ANPD.pdf:p35; curso-159994-aula-05-561e-completo.pdf:p15; curso-159994-aula-04-b323-completo.pdf:p28</t>
        </is>
      </c>
      <c r="I99" s="8" t="n">
        <v>6.25</v>
      </c>
      <c r="J99" s="8" t="n">
        <v>1826</v>
      </c>
      <c r="K99" s="8" t="n">
        <v>105</v>
      </c>
      <c r="L99" s="10">
        <f>IF(COUNT(J99:K99)=2,(J99*Parametros!$B$3+K99*Parametros!$B$4)/1000000*Parametros!$B$5,"")</f>
        <v/>
      </c>
      <c r="M99" s="8" t="n"/>
      <c r="N99" s="8" t="n"/>
      <c r="O99" s="8" t="n"/>
      <c r="P99" s="8" t="n"/>
      <c r="Q99" s="8" t="n"/>
      <c r="R99" s="9">
        <f>IF(COUNT(M99:Q99)=5,SUM(M99:Q99),"")</f>
        <v/>
      </c>
      <c r="S99" s="8" t="n"/>
      <c r="T99" s="8" t="n"/>
      <c r="U99" s="8" t="n"/>
      <c r="V99" s="11">
        <f>IF(AND(ISNUMBER(T99),T99&gt;0),U99/T99,"")</f>
        <v/>
      </c>
      <c r="W99" s="8" t="n"/>
    </row>
    <row r="100">
      <c r="A100" s="7" t="n">
        <v>24</v>
      </c>
      <c r="B100" s="7" t="inlineStr">
        <is>
          <t>RAG atual</t>
        </is>
      </c>
      <c r="C100" s="9">
        <f>INDEX(Perguntas!$B$2:$B$26,MATCH(A100,Perguntas!$A$2:$A$26,0))</f>
        <v/>
      </c>
      <c r="D100" s="9">
        <f>INDEX(Perguntas!$C$2:$C$26,MATCH(A100,Perguntas!$A$2:$A$26,0))</f>
        <v/>
      </c>
      <c r="E100" s="8" t="inlineStr">
        <is>
          <t>2026-09-23</t>
        </is>
      </c>
      <c r="F100" s="8" t="inlineStr">
        <is>
          <t>groq/openai/gpt-oss-20b k=5 (cdde83a)</t>
        </is>
      </c>
      <c r="G100" s="8" t="inlineStr">
        <is>
          <t>Não encontrado no corpus.</t>
        </is>
      </c>
      <c r="H100" s="8" t="inlineStr">
        <is>
          <t>curso-159994-aula-10-aeca-completo.pdf:p21; cartilha_inss_digital_oabsp.pdf:p21; curso-159994-aula-10-bonus-4f69-completo.pdf:p20; cartilha_inss_digital_oabsp.pdf:p23; cartilha_inss_digital_oabsp.pdf:p29</t>
        </is>
      </c>
      <c r="I100" s="8" t="n">
        <v>4.11</v>
      </c>
      <c r="J100" s="8" t="n">
        <v>1554</v>
      </c>
      <c r="K100" s="8" t="n">
        <v>110</v>
      </c>
      <c r="L100" s="10">
        <f>IF(COUNT(J100:K100)=2,(J100*Parametros!$B$3+K100*Parametros!$B$4)/1000000*Parametros!$B$5,"")</f>
        <v/>
      </c>
      <c r="M100" s="8" t="n"/>
      <c r="N100" s="8" t="n"/>
      <c r="O100" s="8" t="n"/>
      <c r="P100" s="8" t="n"/>
      <c r="Q100" s="8" t="n"/>
      <c r="R100" s="9">
        <f>IF(COUNT(M100:Q100)=5,SUM(M100:Q100),"")</f>
        <v/>
      </c>
      <c r="S100" s="8" t="n"/>
      <c r="T100" s="8" t="n"/>
      <c r="U100" s="8" t="n"/>
      <c r="V100" s="11">
        <f>IF(AND(ISNUMBER(T100),T100&gt;0),U100/T100,"")</f>
        <v/>
      </c>
      <c r="W100" s="8" t="n"/>
    </row>
    <row r="101">
      <c r="A101" s="7" t="n">
        <v>25</v>
      </c>
      <c r="B101" s="7" t="inlineStr">
        <is>
          <t>RAG atual</t>
        </is>
      </c>
      <c r="C101" s="9">
        <f>INDEX(Perguntas!$B$2:$B$26,MATCH(A101,Perguntas!$A$2:$A$26,0))</f>
        <v/>
      </c>
      <c r="D101" s="9">
        <f>INDEX(Perguntas!$C$2:$C$26,MATCH(A101,Perguntas!$A$2:$A$26,0))</f>
        <v/>
      </c>
      <c r="E101" s="8" t="inlineStr">
        <is>
          <t>2026-09-23</t>
        </is>
      </c>
      <c r="F101" s="8" t="inlineStr">
        <is>
          <t>groq/openai/gpt-oss-20b k=5 (cdde83a)</t>
        </is>
      </c>
      <c r="G101" s="8" t="inlineStr">
        <is>
          <t>**Não encontrado no corpus**</t>
        </is>
      </c>
      <c r="H101" s="8" t="inlineStr">
        <is>
          <t>cartilha_inss_digital_oabsp.pdf:p18; GTA_executivo_federal_7ed.pdf:p41; gta_executivo_federal_7ed.pdf:p41; GTA_executivo_federal_7ed.pdf:p38; gta_executivo_federal_7ed.pdf:p38</t>
        </is>
      </c>
      <c r="I101" s="8" t="n">
        <v>13.25</v>
      </c>
      <c r="J101" s="8" t="n">
        <v>1908</v>
      </c>
      <c r="K101" s="8" t="n">
        <v>113</v>
      </c>
      <c r="L101" s="10">
        <f>IF(COUNT(J101:K101)=2,(J101*Parametros!$B$3+K101*Parametros!$B$4)/1000000*Parametros!$B$5,"")</f>
        <v/>
      </c>
      <c r="M101" s="8" t="n"/>
      <c r="N101" s="8" t="n"/>
      <c r="O101" s="8" t="n"/>
      <c r="P101" s="8" t="n"/>
      <c r="Q101" s="8" t="n"/>
      <c r="R101" s="9">
        <f>IF(COUNT(M101:Q101)=5,SUM(M101:Q101),"")</f>
        <v/>
      </c>
      <c r="S101" s="8" t="n"/>
      <c r="T101" s="8" t="n"/>
      <c r="U101" s="8" t="n"/>
      <c r="V101" s="11">
        <f>IF(AND(ISNUMBER(T101),T101&gt;0),U101/T101,"")</f>
        <v/>
      </c>
      <c r="W101" s="8" t="n"/>
    </row>
    <row r="102">
      <c r="A102" s="7" t="n">
        <v>1</v>
      </c>
      <c r="B102" s="7" t="inlineStr">
        <is>
          <t>RAG Fase 3</t>
        </is>
      </c>
      <c r="C102" s="9">
        <f>INDEX(Perguntas!$B$2:$B$26,MATCH(A102,Perguntas!$A$2:$A$26,0))</f>
        <v/>
      </c>
      <c r="D102" s="9">
        <f>INDEX(Perguntas!$C$2:$C$26,MATCH(A102,Perguntas!$A$2:$A$26,0))</f>
        <v/>
      </c>
      <c r="E102" s="8" t="inlineStr">
        <is>
          <t>2026-10-13</t>
        </is>
      </c>
      <c r="F102" s="8" t="inlineStr">
        <is>
          <t>groq/openai/gpt-oss-120b k=5 (f67f244)</t>
        </is>
      </c>
      <c r="G102" s="8" t="inlineStr">
        <is>
          <t>**Resposta:** Deve‑se praticar o ato registral de forma integral, emitindo a certidão de inteiro teor sem exigir a apresentação de motivo ou justificativa por parte do requerente.
**Fundamentação normativa**
1. **Lei 6.015/1973 – Art. 19, §§ 11 e 12**  
   &gt; “§ 11. No âmbito do registro de imóveis, a certidão de inteiro teor da matrícula conterá a reprodução de todo seu conteúdo e será suficiente para fins de comprovação de propriedade, direitos, ônus reais e restrições sobre o imóvel….”  
   &gt; “§ 12. Na localidade em que haja dificuldade de comunicação eletrônica, a Corregedoria‑Geral da Justiça Estadual poderá autorizar, de modo excepcional…”.
   O dispositivo estabelece a obrigatoriedade da certidão de inteiro teor e não impõe a necessidade de justificativa para a sua expedição.
2. **Código de Normas da CGJ‑CE – Art. 1131, §§ 1º e 2º**  
   &gt; “§ 1º Ao receber o pedido de certidão, o Oficial fornecerá, obrigatoriamente, ao requerente protocolo… e o prazo para a entrega do documento que não poderá exceder a 05 (cinco) dias úteis….”  
   &gt; “§ 2º A certidão será lavrada em inteiro teor, em resumo ou em relatório, conforme quesitos, e devidamente autenticada… não podendo ser retardada por mais de 5 (cinco) dias úteis.”
   Não há exigência de motivação do requerente; basta o pedido formal e a indicação do número da matrícula.
3. **Provimento CNJ 149/2023 – Art. 327**  
   &gt; “A certidão de inteiro teor digital solicitada durante o horário de expediente, com indicação do número da matrícula… será emitida e disponibilizada dentro de no máximo 2 (duas) horas…”.
   O provimento regulamenta o prazo de emissão, confirmando que o requerimento pode ser atendido imediatamente, independentemente de motivo.
**Conclusão prática**
- **Ato registral:** Emissão integral da certidão de inteiro teor.  
- **Condição:** Nenhuma exigência de motivação ou vínculo do requerente.  
- **Procedimento:** Registrar o pedido, gerar o protocolo (Art. 1131, § 1º), observar o prazo máximo de 5 (cinco) dias úteis ou 2 (duas) horas para a versão digital (Art. 327), e disponibilizar a certidão ao requerente.  
Portanto, a certidão pode ser emitida sem exigir motivo.</t>
        </is>
      </c>
      <c r="H102" s="8" t="inlineStr">
        <is>
          <t>Lei 6.015/1973 — Art. 19:p0; Código de Normas CGJ-CE — Art. 1131:p229; Provimento CNJ 149/2023 — Art. 327:p209; Provimento CNJ 149/2023 — Art. 200:p94</t>
        </is>
      </c>
      <c r="I102" s="8" t="n">
        <v>2.73</v>
      </c>
      <c r="J102" s="8" t="n">
        <v>1738</v>
      </c>
      <c r="K102" s="8" t="n">
        <v>814</v>
      </c>
      <c r="L102" s="10">
        <f>IF(COUNT(J102:K102)=2,(J102*Parametros!$B$3+K102*Parametros!$B$4)/1000000*Parametros!$B$5,"")</f>
        <v/>
      </c>
      <c r="M102" s="8" t="n"/>
      <c r="N102" s="8" t="n"/>
      <c r="O102" s="8" t="n"/>
      <c r="P102" s="8" t="n"/>
      <c r="Q102" s="8" t="n"/>
      <c r="R102" s="9">
        <f>IF(COUNT(M102:Q102)=5,SUM(M102:Q102),"")</f>
        <v/>
      </c>
      <c r="S102" s="8" t="n"/>
      <c r="T102" s="8" t="n">
        <v>5</v>
      </c>
      <c r="U102" s="8" t="n">
        <v>5</v>
      </c>
      <c r="V102" s="11">
        <f>IF(AND(ISNUMBER(T102),T102&gt;0),U102/T102,"")</f>
        <v/>
      </c>
      <c r="W102" s="8" t="inlineStr"/>
    </row>
    <row r="103">
      <c r="A103" s="7" t="n">
        <v>2</v>
      </c>
      <c r="B103" s="7" t="inlineStr">
        <is>
          <t>RAG Fase 3</t>
        </is>
      </c>
      <c r="C103" s="9">
        <f>INDEX(Perguntas!$B$2:$B$26,MATCH(A103,Perguntas!$A$2:$A$26,0))</f>
        <v/>
      </c>
      <c r="D103" s="9">
        <f>INDEX(Perguntas!$C$2:$C$26,MATCH(A103,Perguntas!$A$2:$A$26,0))</f>
        <v/>
      </c>
      <c r="E103" s="8" t="inlineStr">
        <is>
          <t>2026-10-13</t>
        </is>
      </c>
      <c r="F103" s="8" t="inlineStr">
        <is>
          <t>groq/openai/gpt-oss-20b k=5 (f67f244)</t>
        </is>
      </c>
      <c r="G103" s="8" t="inlineStr">
        <is>
          <t>**Resposta Jurídica e Operacional**
A certidão de inteiro teor **não** é obrigada a exibir o CPF completo dos proprietários.
**Fundamentação normativa**
- **Código de Normas CGJ‑CE – Art. 1131, § 10**  
  “No âmbito do registro de imóveis, a certidão de inteiro teor da matrícula conterá a reprodução de todo seu conteúdo e será suficiente para fins de comprovação de propriedade, direitos, ônus reais e restrições sobre o imóvel, independentemente de certificação específica pelo Oficial.”
- **Lei 6.015/1973 – Art. 19, § 11**  
  “No âmbito do registro de imóveis, a certidão de inteiro teor da matrícula conterá a reprodução de todo seu conteúdo e será suficiente para fins de comprovação de propriedade, direitos, ônus reais e restrições sobre o imóvel, independentemente de certificação específica pelo oficial.”
Esses dispositivos estabelecem que a certidão reproduz todo o conteúdo da matrícula, mas não impõem a inclusão do CPF completo dos proprietários como requisito obrigatório. Portanto, a prática de registrar o CPF completo não é exigida nem prevista na legislação vigente.</t>
        </is>
      </c>
      <c r="H103" s="8" t="inlineStr">
        <is>
          <t>Código de Normas CGJ-CE — Art. 1502:p308; Código de Normas CGJ-CE — Art. 1131:p229; Lei 6.015/1973 — Art. 19:p0; Código de Normas CGJ-CE — Art. 1633:p333</t>
        </is>
      </c>
      <c r="I103" s="8" t="n">
        <v>1.3</v>
      </c>
      <c r="J103" s="8" t="n">
        <v>1698</v>
      </c>
      <c r="K103" s="8" t="n">
        <v>658</v>
      </c>
      <c r="L103" s="10">
        <f>IF(COUNT(J103:K103)=2,(J103*Parametros!$B$3+K103*Parametros!$B$4)/1000000*Parametros!$B$5,"")</f>
        <v/>
      </c>
      <c r="M103" s="8" t="n"/>
      <c r="N103" s="8" t="n"/>
      <c r="O103" s="8" t="n"/>
      <c r="P103" s="8" t="n"/>
      <c r="Q103" s="8" t="n"/>
      <c r="R103" s="9">
        <f>IF(COUNT(M103:Q103)=5,SUM(M103:Q103),"")</f>
        <v/>
      </c>
      <c r="S103" s="8" t="n"/>
      <c r="T103" s="8" t="n">
        <v>2</v>
      </c>
      <c r="U103" s="8" t="n">
        <v>2</v>
      </c>
      <c r="V103" s="11">
        <f>IF(AND(ISNUMBER(T103),T103&gt;0),U103/T103,"")</f>
        <v/>
      </c>
      <c r="W103" s="8" t="inlineStr"/>
    </row>
    <row r="104">
      <c r="A104" s="7" t="n">
        <v>3</v>
      </c>
      <c r="B104" s="7" t="inlineStr">
        <is>
          <t>RAG Fase 3</t>
        </is>
      </c>
      <c r="C104" s="9">
        <f>INDEX(Perguntas!$B$2:$B$26,MATCH(A104,Perguntas!$A$2:$A$26,0))</f>
        <v/>
      </c>
      <c r="D104" s="9">
        <f>INDEX(Perguntas!$C$2:$C$26,MATCH(A104,Perguntas!$A$2:$A$26,0))</f>
        <v/>
      </c>
      <c r="E104" s="8" t="inlineStr">
        <is>
          <t>2026-10-13</t>
        </is>
      </c>
      <c r="F104" s="8" t="inlineStr">
        <is>
          <t>groq/openai/gpt-oss-120b k=5 (f67f244)</t>
        </is>
      </c>
      <c r="G104" s="8" t="inlineStr">
        <is>
          <t>**Resposta:** O pedido deve ser **praticado condicionado com tarjamento protetivo**.
**Fundamentação normativa**
1. **Certidão padrão – ônus não cancelados**  
   - **Código de Normas CGJ‑CE, art. 1.129** – “as certidões … serão expedidas … contendo … os ônus reais **não cancelados**.”  
   - Portanto, a certidão que contém apenas a situação jurídica atual (descrição, titularidade e ônus vigentes) pode ser emitida integralmente, mas **não inclui** ônus já extintos (penhoras canceladas).
2. **Emissão de certidão com histórico de atos anteriores**  
   - **Código de Normas CGJ‑CE, art. 1.682, § único** – “a expedição de certidão de atos anteriores da cadeia filiatória do imóvel **depende de identificação segura do requerente e de indicação da finalidade**.”  
   - Essa exigência caracteriza a necessidade de **tarjamento protetivo** (tratamento de dados pessoais sensíveis) para garantir a proteção dos dados constantes nos registros históricos, em consonância com a LGPD.
3. **Procedimento recomendado**  
   - **Passo 1 –** Verificar a identidade do requerente (documentação idônea, assinatura digital ou outro meio que assegure a identificação segura).  
   - **Passo 2 –** Exigir a indicação clara da finalidade da certidão (ex.: instrução de processo judicial, análise de crédito, pesquisa acadêmica, etc.).  
   - **Passo 3 –** Aplicar o tarjamento protetivo (mascaramento ou restrição de acesso) aos dados pessoais que constam nos atos extintos, de modo a atender a LGPD (art. 5º, inc. X da LGPD) e o art. 1.682, § único do Código de Normas CGJ‑CE.  
   - **Passo 4 –** Emitir a certidão contendo **todo o histórico de ônus**, inclusive as penhoras já canceladas, com a devida proteção dos dados.
**Conclusão prática**
- **Não** é possível atender ao pedido de forma integral (sem restrições) apenas com base no art. 1.129, pois a certidão padrão exclui ônus cancelados.  
- **Deve‑se** conceder a certidão histórica **condicionada ao tarjamento protetivo**, atendendo ao requisito de identificação segura e indicação de finalidade previsto no art. 1.682, § único.  
Assim, o ato registral será praticado **condicionado com tarjamento protetivo**, observando os dispositivos citados.</t>
        </is>
      </c>
      <c r="H104" s="8" t="inlineStr">
        <is>
          <t>Lei 6.015/1973 — Art. 230:p0; Código de Normas CGJ-CE — Art. 1129:p229; Código de Normas CGJ-CE — Art. 1682:p345; Código de Normas CGJ-CE — Art. 1259:p256</t>
        </is>
      </c>
      <c r="I104" s="8" t="n">
        <v>2.88</v>
      </c>
      <c r="J104" s="8" t="n">
        <v>1410</v>
      </c>
      <c r="K104" s="8" t="n">
        <v>1188</v>
      </c>
      <c r="L104" s="10">
        <f>IF(COUNT(J104:K104)=2,(J104*Parametros!$B$3+K104*Parametros!$B$4)/1000000*Parametros!$B$5,"")</f>
        <v/>
      </c>
      <c r="M104" s="8" t="n"/>
      <c r="N104" s="8" t="n"/>
      <c r="O104" s="8" t="n"/>
      <c r="P104" s="8" t="n"/>
      <c r="Q104" s="8" t="n"/>
      <c r="R104" s="9">
        <f>IF(COUNT(M104:Q104)=5,SUM(M104:Q104),"")</f>
        <v/>
      </c>
      <c r="S104" s="8" t="n"/>
      <c r="T104" s="8" t="n">
        <v>5</v>
      </c>
      <c r="U104" s="8" t="n">
        <v>4</v>
      </c>
      <c r="V104" s="11">
        <f>IF(AND(ISNUMBER(T104),T104&gt;0),U104/T104,"")</f>
        <v/>
      </c>
      <c r="W104" s="8" t="inlineStr">
        <is>
          <t>Art. 5 (LGPD (Lei 13.709/2018)) → NAO_RECUPERADA [recuperado em: nenhum trecho recuperado]</t>
        </is>
      </c>
    </row>
    <row r="105">
      <c r="A105" s="7" t="n">
        <v>4</v>
      </c>
      <c r="B105" s="7" t="inlineStr">
        <is>
          <t>RAG Fase 3</t>
        </is>
      </c>
      <c r="C105" s="9">
        <f>INDEX(Perguntas!$B$2:$B$26,MATCH(A105,Perguntas!$A$2:$A$26,0))</f>
        <v/>
      </c>
      <c r="D105" s="9">
        <f>INDEX(Perguntas!$C$2:$C$26,MATCH(A105,Perguntas!$A$2:$A$26,0))</f>
        <v/>
      </c>
      <c r="E105" s="8" t="inlineStr">
        <is>
          <t>2026-10-13</t>
        </is>
      </c>
      <c r="F105" s="8" t="inlineStr">
        <is>
          <t>groq/openai/gpt-oss-120b k=5 (f67f244)</t>
        </is>
      </c>
      <c r="G105" s="8" t="inlineStr">
        <is>
          <t>**Resposta:** Indeferido via Nota Devolutiva.
**Fundamentação normativa**
- **Código de Normas da CGJ‑CE – Art. 1.128, § 2º, inc. V**:  
  “o fornecimento, pelo registrador, por qualquer meio, de informações sobre o registro não veiculadas por certidão, **exceto nos casos em que o solicitante figure no registro em questão**.”  
  No pedido apresentado o requerente indica apenas o nome do titular (“fulano”) e não demonstra que ele próprio seja o titular nem apresenta qualquer finalidade legalmente prevista. Assim, a informação solicitada não pode ser fornecida por meio de busca ou comunicação direta, pois não se enquadra na exceção prevista no inciso V.
- **Lei 6.015/1973 – Art. 222** (obrigatoriedade de referência à matrícula nos atos) reforça que a identificação do imóvel deve ser feita mediante número de matrícula ou registro, não apenas pelo nome do proprietário, o que demonstra a necessidade de dados precisos e vinculados ao registro para qualquer comunicação.
- **LGPD (Lei Geral de Proteção de Dados Pessoais)** – embora não conste explicitamente no corpus fornecido, o tratamento de dados pessoais (nome e patrimônio imobiliário) só pode ocorrer mediante consentimento do titular ou outra hipótese legal. O simples pedido de “todos os imóveis em nome de fulano” sem consentimento ou legitimidade não atende a esse requisito.
**Conclusão operativa**
Diante da ausência de comprovação de que o requerente seja o próprio titular ou que possua autorização legal para acessar tais dados, o ato de busca e a posterior comunicação das informações devem ser **indeferidos**, devendo ser emitida a respectiva **Nota Devolutiva** fundamentada no art. 1.128, § 2º, inc. V, do Código de Normas da CGJ‑CE.</t>
        </is>
      </c>
      <c r="H105" s="8" t="inlineStr">
        <is>
          <t>Lei 6.015/1973 — Art. 234:p0; Lei 6.015/1973 — Art. 222:p0; Código de Normas CGJ-CE — Art. 1416:p287; Código de Normas CGJ-CE — Art. 1311:p267; Código de Normas CGJ-CE — Art. 1128:p229</t>
        </is>
      </c>
      <c r="I105" s="8" t="n">
        <v>2</v>
      </c>
      <c r="J105" s="8" t="n">
        <v>1483</v>
      </c>
      <c r="K105" s="8" t="n">
        <v>731</v>
      </c>
      <c r="L105" s="10">
        <f>IF(COUNT(J105:K105)=2,(J105*Parametros!$B$3+K105*Parametros!$B$4)/1000000*Parametros!$B$5,"")</f>
        <v/>
      </c>
      <c r="M105" s="8" t="n"/>
      <c r="N105" s="8" t="n"/>
      <c r="O105" s="8" t="n"/>
      <c r="P105" s="8" t="n"/>
      <c r="Q105" s="8" t="n"/>
      <c r="R105" s="9">
        <f>IF(COUNT(M105:Q105)=5,SUM(M105:Q105),"")</f>
        <v/>
      </c>
      <c r="S105" s="8" t="n"/>
      <c r="T105" s="8" t="n">
        <v>3</v>
      </c>
      <c r="U105" s="8" t="n">
        <v>3</v>
      </c>
      <c r="V105" s="11">
        <f>IF(AND(ISNUMBER(T105),T105&gt;0),U105/T105,"")</f>
        <v/>
      </c>
      <c r="W105" s="8" t="inlineStr"/>
    </row>
    <row r="106">
      <c r="A106" s="7" t="n">
        <v>5</v>
      </c>
      <c r="B106" s="7" t="inlineStr">
        <is>
          <t>RAG Fase 3</t>
        </is>
      </c>
      <c r="C106" s="9">
        <f>INDEX(Perguntas!$B$2:$B$26,MATCH(A106,Perguntas!$A$2:$A$26,0))</f>
        <v/>
      </c>
      <c r="D106" s="9">
        <f>INDEX(Perguntas!$C$2:$C$26,MATCH(A106,Perguntas!$A$2:$A$26,0))</f>
        <v/>
      </c>
      <c r="E106" s="8" t="inlineStr">
        <is>
          <t>2026-10-13</t>
        </is>
      </c>
      <c r="F106" s="8" t="inlineStr">
        <is>
          <t>groq/openai/gpt-oss-20b k=5 (f67f244)</t>
        </is>
      </c>
      <c r="G106" s="8" t="inlineStr"/>
      <c r="H106" s="8" t="inlineStr">
        <is>
          <t>Código de Normas CGJ-CE — Art. 1666:p342; Código de Normas CGJ-CE — Art. 1659:p339; Código de Normas CGJ-CE — Art. 1621:p330; Provimento 15/2026/CGJCE — Art. 1:p2</t>
        </is>
      </c>
      <c r="I106" s="8" t="n">
        <v>2.73</v>
      </c>
      <c r="J106" s="8" t="n">
        <v>2169</v>
      </c>
      <c r="K106" s="8" t="n">
        <v>2048</v>
      </c>
      <c r="L106" s="10">
        <f>IF(COUNT(J106:K106)=2,(J106*Parametros!$B$3+K106*Parametros!$B$4)/1000000*Parametros!$B$5,"")</f>
        <v/>
      </c>
      <c r="M106" s="8" t="n"/>
      <c r="N106" s="8" t="n"/>
      <c r="O106" s="8" t="n"/>
      <c r="P106" s="8" t="n"/>
      <c r="Q106" s="8" t="n"/>
      <c r="R106" s="9">
        <f>IF(COUNT(M106:Q106)=5,SUM(M106:Q106),"")</f>
        <v/>
      </c>
      <c r="S106" s="8" t="n"/>
      <c r="T106" s="8" t="n">
        <v>0</v>
      </c>
      <c r="U106" s="8" t="n">
        <v>0</v>
      </c>
      <c r="V106" s="11">
        <f>IF(AND(ISNUMBER(T106),T106&gt;0),U106/T106,"")</f>
        <v/>
      </c>
      <c r="W106" s="8" t="inlineStr"/>
    </row>
    <row r="107">
      <c r="A107" s="7" t="n">
        <v>6</v>
      </c>
      <c r="B107" s="7" t="inlineStr">
        <is>
          <t>RAG Fase 3</t>
        </is>
      </c>
      <c r="C107" s="9">
        <f>INDEX(Perguntas!$B$2:$B$26,MATCH(A107,Perguntas!$A$2:$A$26,0))</f>
        <v/>
      </c>
      <c r="D107" s="9">
        <f>INDEX(Perguntas!$C$2:$C$26,MATCH(A107,Perguntas!$A$2:$A$26,0))</f>
        <v/>
      </c>
      <c r="E107" s="8" t="inlineStr">
        <is>
          <t>2026-10-13</t>
        </is>
      </c>
      <c r="F107" s="8" t="inlineStr">
        <is>
          <t>groq/openai/gpt-oss-20b k=5 (f67f244)</t>
        </is>
      </c>
      <c r="G107" s="8" t="inlineStr">
        <is>
          <t>Não encontrado no corpus.</t>
        </is>
      </c>
      <c r="H107" s="8" t="inlineStr">
        <is>
          <t>Código de Normas CGJ-CE — Art. 1394:p282; Código de Normas CGJ-CE — Art. 1456:p297; Código de Normas CGJ-CE — Art. 1386:p281; Provimento CNJ 149/2023 — Art. 426:p269; Código de Normas CGJ-CE — Art. 1364:p277</t>
        </is>
      </c>
      <c r="I107" s="8" t="n">
        <v>2.19</v>
      </c>
      <c r="J107" s="8" t="n">
        <v>1783</v>
      </c>
      <c r="K107" s="8" t="n">
        <v>782</v>
      </c>
      <c r="L107" s="10">
        <f>IF(COUNT(J107:K107)=2,(J107*Parametros!$B$3+K107*Parametros!$B$4)/1000000*Parametros!$B$5,"")</f>
        <v/>
      </c>
      <c r="M107" s="8" t="n"/>
      <c r="N107" s="8" t="n"/>
      <c r="O107" s="8" t="n"/>
      <c r="P107" s="8" t="n"/>
      <c r="Q107" s="8" t="n"/>
      <c r="R107" s="9">
        <f>IF(COUNT(M107:Q107)=5,SUM(M107:Q107),"")</f>
        <v/>
      </c>
      <c r="S107" s="8" t="n"/>
      <c r="T107" s="8" t="n">
        <v>0</v>
      </c>
      <c r="U107" s="8" t="n">
        <v>0</v>
      </c>
      <c r="V107" s="11">
        <f>IF(AND(ISNUMBER(T107),T107&gt;0),U107/T107,"")</f>
        <v/>
      </c>
      <c r="W107" s="8" t="inlineStr"/>
    </row>
    <row r="108">
      <c r="A108" s="7" t="n">
        <v>7</v>
      </c>
      <c r="B108" s="7" t="inlineStr">
        <is>
          <t>RAG Fase 3</t>
        </is>
      </c>
      <c r="C108" s="9">
        <f>INDEX(Perguntas!$B$2:$B$26,MATCH(A108,Perguntas!$A$2:$A$26,0))</f>
        <v/>
      </c>
      <c r="D108" s="9">
        <f>INDEX(Perguntas!$C$2:$C$26,MATCH(A108,Perguntas!$A$2:$A$26,0))</f>
        <v/>
      </c>
      <c r="E108" s="8" t="inlineStr">
        <is>
          <t>2026-10-13</t>
        </is>
      </c>
      <c r="F108" s="8" t="inlineStr">
        <is>
          <t>groq/openai/gpt-oss-20b k=5 (f67f244)</t>
        </is>
      </c>
      <c r="G108" s="8" t="inlineStr"/>
      <c r="H108" s="8" t="inlineStr">
        <is>
          <t>Lei 6.015/1973 — Art. 279:p0; Lei 6.015/1973 — Art. 276:p0; Lei 6.015/1973 — Art. 292:p0; Código de Normas CGJ-CE — Art. 1333:p271; Código de Normas CGJ-CE — Art. 1412:p286</t>
        </is>
      </c>
      <c r="I108" s="8" t="n">
        <v>3</v>
      </c>
      <c r="J108" s="8" t="n">
        <v>1175</v>
      </c>
      <c r="K108" s="8" t="n">
        <v>2048</v>
      </c>
      <c r="L108" s="10">
        <f>IF(COUNT(J108:K108)=2,(J108*Parametros!$B$3+K108*Parametros!$B$4)/1000000*Parametros!$B$5,"")</f>
        <v/>
      </c>
      <c r="M108" s="8" t="n"/>
      <c r="N108" s="8" t="n"/>
      <c r="O108" s="8" t="n"/>
      <c r="P108" s="8" t="n"/>
      <c r="Q108" s="8" t="n"/>
      <c r="R108" s="9">
        <f>IF(COUNT(M108:Q108)=5,SUM(M108:Q108),"")</f>
        <v/>
      </c>
      <c r="S108" s="8" t="n"/>
      <c r="T108" s="8" t="n">
        <v>0</v>
      </c>
      <c r="U108" s="8" t="n">
        <v>0</v>
      </c>
      <c r="V108" s="11">
        <f>IF(AND(ISNUMBER(T108),T108&gt;0),U108/T108,"")</f>
        <v/>
      </c>
      <c r="W108" s="8" t="inlineStr"/>
    </row>
    <row r="109">
      <c r="A109" s="7" t="n">
        <v>8</v>
      </c>
      <c r="B109" s="7" t="inlineStr">
        <is>
          <t>RAG Fase 3</t>
        </is>
      </c>
      <c r="C109" s="9">
        <f>INDEX(Perguntas!$B$2:$B$26,MATCH(A109,Perguntas!$A$2:$A$26,0))</f>
        <v/>
      </c>
      <c r="D109" s="9">
        <f>INDEX(Perguntas!$C$2:$C$26,MATCH(A109,Perguntas!$A$2:$A$26,0))</f>
        <v/>
      </c>
      <c r="E109" s="8" t="inlineStr">
        <is>
          <t>2026-10-13</t>
        </is>
      </c>
      <c r="F109" s="8" t="inlineStr">
        <is>
          <t>groq/openai/gpt-oss-120b k=5 (f67f244)</t>
        </is>
      </c>
      <c r="G109" s="8" t="inlineStr">
        <is>
          <t>**Resposta:** A solicitação da Prefeitura deve ser atendida **condicionada com tarjamento protetivo** (proteção de dados), mediante a entrega dos dados no formato eletrônico previsto pelo Provimento CNJ 149/2023.
---
### Fundamentação normativa
1. **Provimento CNJ 149/2023 – Art. 184‑A, §§ 3 a 6**  
   - **§ 3º** – “É obrigatória a indicação do fato ou ato jurídico que ensejou a aquisição ou a transmissão do direito real de propriedade (compra e venda, doação, usucapião etc.).”  
   - **§ 4º** – “O CNB/CF e o ONR disponibilizarão acesso aos municípios, para obtenção das informações, mediante convênio padronizado, para fins de os destinatários das informações atenderem ao disposto nas regras de proteção de dados e de sigilo fiscal.”  
   - **§ 5º** – “O acesso pode ocorrer mediante plataforma que permita aos municípios obterem, em um mesmo ambiente eletrônico, as informações.”  
   - **§ 6º** – “Caberão ao CNB/CF e ao ONR a elaboração de manual técnico em que serão estabelecidos o formato dos dados e o padrão dos programas de interface eletrônica (Application Programming Interface – API), a serem utilizados no intercâmbio de dados estruturados entre as serventias extrajudiciais e as municipalidades.”
2. **LGPD (Lei 13.709/2018) – tratamento de dados pessoais para cumprimento de obrigação legal ou regulatória**  
   - Embora o texto da LGPD não conste integralmente no corpus, o provimento acima já incorpora a exigência de observância das “regras de proteção de dados”, que decorrem do art. 7º, I da LGPD (tratamento de dados pessoais quando necessário ao cumprimento de obrigação legal ou regulatória).  
---
### Como proceder
| Etapa | Descrição | Base legal |
|-------|-----------|------------|
| **1. Convênio padronizado** | Verificar a existência de convênio entre o Cartório de Registro de Imóveis e a Prefeitura, nos termos do **§ 4º** do art. 184‑A. | Provimento CNJ 149/2023, art. 184‑A, § 4º |
| **2. Utilização da plataforma ONR** | Disponibilizar a lista (imóvel, proprietário, CPF) por meio da plataforma eletrônica do **Operador Nacional do Sistema de Registro Eletrônico de Imóveis (ONR)**, conforme previsto no **§ 5º**. | Provimento CNJ 149/2023, art. 184‑A, § 5º |
| **3. Formato dos dados** | Seguir o **manual técnico** elaborado pelo CNB/CF e ONR (art. 184‑A, § 6º), que define o padrão de **API/arquivo estruturado (ex.: JSON ou XML) contendo apenas os campos necessários** (número da matrícula, nome completo, CPF, endereço). | Provimento CNJ 149/2023, art. 184‑A, § 6º |
| **4. Tarjamento protetivo** | Aplicar a classificação de **tarjamento protetivo** aos dados pessoais (CPF) para garantir que o acesso seja restrito ao uso exclusivo da cobrança de IPTU, obedecendo aos princípios da LGPD (necessidade, adequação e minimização). | Provimento CNJ 149/2023, art. 184‑A, §§ 4‑5 (regras de proteção de dados) |
| **5. Registro da comunicação** | Emitir nota de devolutiva ao requerente (Prefeitura) informando o meio de acesso (API/portal ONR) e as condições de uso dos dados, conforme prática de transparência e rastreabilidade. | Não encontrado no corpus (para formalização de nota de devolutiva) |
---
### Conclusão
- **O ato registral não pode ser indeferido**; a informação é de interesse público para a arrecadação de IPTU, havendo fundamento legal para o seu fornecimento.  
- **Deve ser fornecida**, porém **condicionada com tarjamento protetivo** e **exclusivamente via plataforma eletrônica (ONR) no formato técnico definido pelo manual de API**, garantindo a observância das normas de proteção de dados previstas no Provimento CNJ 149/2023 e na LGPD.  
---  
**Nota de Devolutiva (modelo resumido)**  
&gt; “Em atendimento ao requerimento da Prefeitura Municipal de ___, informamos que a lista de imóveis com respectivos proprietários e CPFs será disponibilizada por meio da plataforma do Operador Nacional do Sistema de Registro Eletrônico de Imóveis (ONR), conforme o manual técnico de intercâmbio de dados (API). Os dados serão tarifados como protetivos, obedecendo às regras de proteção de dados pessoais previstas no Provimento CNJ 149/2023, art. 184‑A, §§ 4‑6, e na LGPD. O acesso será concedido mediante credenciais específicas e uso exclusivo para fins de cobrança de IPTU.”  
---  
**Referências citadas**  
- Provimento CNJ 149/2023, Art. 184‑A, §§ 3 a 6.  
- LGPD (Lei 13.709/2018) – tratamento de dados pessoais para cumprimento de obrigação legal (art. 7º, I).  
---  
*Esta orientação está baseada **exclusivamente** no corpus normativo apresentado.*</t>
        </is>
      </c>
      <c r="H109" s="8" t="inlineStr">
        <is>
          <t>Código de Normas CGJ-CE — Art. 1416:p287; Código de Normas CGJ-CE — Art. 1394:p282; Código de Normas CGJ-CE — Art. 1498:p307; Provimento CNJ 149/2023 — Art. 184-A:p88</t>
        </is>
      </c>
      <c r="I109" s="8" t="n">
        <v>4.29</v>
      </c>
      <c r="J109" s="8" t="n">
        <v>2097</v>
      </c>
      <c r="K109" s="8" t="n">
        <v>1754</v>
      </c>
      <c r="L109" s="10">
        <f>IF(COUNT(J109:K109)=2,(J109*Parametros!$B$3+K109*Parametros!$B$4)/1000000*Parametros!$B$5,"")</f>
        <v/>
      </c>
      <c r="M109" s="8" t="n"/>
      <c r="N109" s="8" t="n"/>
      <c r="O109" s="8" t="n"/>
      <c r="P109" s="8" t="n"/>
      <c r="Q109" s="8" t="n"/>
      <c r="R109" s="9">
        <f>IF(COUNT(M109:Q109)=5,SUM(M109:Q109),"")</f>
        <v/>
      </c>
      <c r="S109" s="8" t="n"/>
      <c r="T109" s="8" t="n">
        <v>2</v>
      </c>
      <c r="U109" s="8" t="n">
        <v>1</v>
      </c>
      <c r="V109" s="11">
        <f>IF(AND(ISNUMBER(T109),T109&gt;0),U109/T109,"")</f>
        <v/>
      </c>
      <c r="W109" s="8" t="inlineStr">
        <is>
          <t>Art. 7 (LGPD (Lei 13.709/2018)) → NAO_RECUPERADA [recuperado em: nenhum trecho recuperado]</t>
        </is>
      </c>
    </row>
    <row r="110">
      <c r="A110" s="7" t="n">
        <v>9</v>
      </c>
      <c r="B110" s="7" t="inlineStr">
        <is>
          <t>RAG Fase 3</t>
        </is>
      </c>
      <c r="C110" s="9">
        <f>INDEX(Perguntas!$B$2:$B$26,MATCH(A110,Perguntas!$A$2:$A$26,0))</f>
        <v/>
      </c>
      <c r="D110" s="9">
        <f>INDEX(Perguntas!$C$2:$C$26,MATCH(A110,Perguntas!$A$2:$A$26,0))</f>
        <v/>
      </c>
      <c r="E110" s="8" t="inlineStr">
        <is>
          <t>2026-10-13</t>
        </is>
      </c>
      <c r="F110" s="8" t="inlineStr">
        <is>
          <t>groq/openai/gpt-oss-20b k=5 (f67f244)</t>
        </is>
      </c>
      <c r="G110" s="8" t="inlineStr">
        <is>
          <t>**Indeferir via Nota Devolutiva**  
O oficial deve recusar o fornecimento dos dados solicitados pela polícia, emitindo uma Nota Devolutiva fundamentada, pois a solicitação não está respaldada por ordem judicial e, portanto, não se enquadra nas finalidades previstas para o tratamento de dados pessoais no Registro de Imóveis.
**Dispositivo legal aplicável**  
Art. 1128, § 4º, do Código de Normas CGJ‑CE:  
&gt; “Caracterizada tentativa de tratamento de dados em desacordo com as finalidades do Registro de Imóveis e com os princípios da Lei Geral de Proteção de Dados Pessoais, poderá o Oficial recusar o fornecimento em nota fundamentada, do que caberá revisão pelo juízo competente.”
Assim, o ato registral deve ser **indeferido via Nota Devolutiva**.</t>
        </is>
      </c>
      <c r="H110" s="8" t="inlineStr">
        <is>
          <t>Código de Normas CGJ-CE — Art. 1464:p299; Lei 6.015/1973 — Art. 283:p0; Provimento CNJ 149/2023 — Art. 320-AE:p205; Código de Normas CGJ-CE — Art. 1128:p229; Provimento CNJ 149/2023 — Art. 320-AK:p206</t>
        </is>
      </c>
      <c r="I110" s="8" t="n">
        <v>20.58</v>
      </c>
      <c r="J110" s="8" t="n">
        <v>1605</v>
      </c>
      <c r="K110" s="8" t="n">
        <v>815</v>
      </c>
      <c r="L110" s="10">
        <f>IF(COUNT(J110:K110)=2,(J110*Parametros!$B$3+K110*Parametros!$B$4)/1000000*Parametros!$B$5,"")</f>
        <v/>
      </c>
      <c r="M110" s="8" t="n"/>
      <c r="N110" s="8" t="n"/>
      <c r="O110" s="8" t="n"/>
      <c r="P110" s="8" t="n"/>
      <c r="Q110" s="8" t="n"/>
      <c r="R110" s="9">
        <f>IF(COUNT(M110:Q110)=5,SUM(M110:Q110),"")</f>
        <v/>
      </c>
      <c r="S110" s="8" t="n"/>
      <c r="T110" s="8" t="n">
        <v>1</v>
      </c>
      <c r="U110" s="8" t="n">
        <v>1</v>
      </c>
      <c r="V110" s="11">
        <f>IF(AND(ISNUMBER(T110),T110&gt;0),U110/T110,"")</f>
        <v/>
      </c>
      <c r="W110" s="8" t="inlineStr"/>
    </row>
    <row r="111">
      <c r="A111" s="7" t="n">
        <v>10</v>
      </c>
      <c r="B111" s="7" t="inlineStr">
        <is>
          <t>RAG Fase 3</t>
        </is>
      </c>
      <c r="C111" s="9">
        <f>INDEX(Perguntas!$B$2:$B$26,MATCH(A111,Perguntas!$A$2:$A$26,0))</f>
        <v/>
      </c>
      <c r="D111" s="9">
        <f>INDEX(Perguntas!$C$2:$C$26,MATCH(A111,Perguntas!$A$2:$A$26,0))</f>
        <v/>
      </c>
      <c r="E111" s="8" t="inlineStr">
        <is>
          <t>2026-10-13</t>
        </is>
      </c>
      <c r="F111" s="8" t="inlineStr">
        <is>
          <t>groq/openai/gpt-oss-20b k=5 (f67f244)</t>
        </is>
      </c>
      <c r="G111" s="8" t="inlineStr">
        <is>
          <t>Não encontrado no corpus.</t>
        </is>
      </c>
      <c r="H111" s="8" t="inlineStr">
        <is>
          <t>Código de Normas CGJ-CE — Art. 1367:p277; Código de Normas CGJ-CE — Art. 1141:p232; Código de Normas CGJ-CE — Art. 1128:p229; Código de Normas CGJ-CE — Art. 1127:p229; Lei 6.015/1973 — Art. 176-O:p0</t>
        </is>
      </c>
      <c r="I111" s="8" t="n">
        <v>14.49</v>
      </c>
      <c r="J111" s="8" t="n">
        <v>1399</v>
      </c>
      <c r="K111" s="8" t="n">
        <v>651</v>
      </c>
      <c r="L111" s="10">
        <f>IF(COUNT(J111:K111)=2,(J111*Parametros!$B$3+K111*Parametros!$B$4)/1000000*Parametros!$B$5,"")</f>
        <v/>
      </c>
      <c r="M111" s="8" t="n"/>
      <c r="N111" s="8" t="n"/>
      <c r="O111" s="8" t="n"/>
      <c r="P111" s="8" t="n"/>
      <c r="Q111" s="8" t="n"/>
      <c r="R111" s="9">
        <f>IF(COUNT(M111:Q111)=5,SUM(M111:Q111),"")</f>
        <v/>
      </c>
      <c r="S111" s="8" t="n"/>
      <c r="T111" s="8" t="n">
        <v>0</v>
      </c>
      <c r="U111" s="8" t="n">
        <v>0</v>
      </c>
      <c r="V111" s="11">
        <f>IF(AND(ISNUMBER(T111),T111&gt;0),U111/T111,"")</f>
        <v/>
      </c>
      <c r="W111" s="8" t="inlineStr"/>
    </row>
    <row r="112">
      <c r="A112" s="7" t="n">
        <v>11</v>
      </c>
      <c r="B112" s="7" t="inlineStr">
        <is>
          <t>RAG Fase 3</t>
        </is>
      </c>
      <c r="C112" s="9">
        <f>INDEX(Perguntas!$B$2:$B$26,MATCH(A112,Perguntas!$A$2:$A$26,0))</f>
        <v/>
      </c>
      <c r="D112" s="9">
        <f>INDEX(Perguntas!$C$2:$C$26,MATCH(A112,Perguntas!$A$2:$A$26,0))</f>
        <v/>
      </c>
      <c r="E112" s="8" t="inlineStr">
        <is>
          <t>2026-10-13</t>
        </is>
      </c>
      <c r="F112" s="8" t="inlineStr">
        <is>
          <t>groq/openai/gpt-oss-120b k=5 (f67f244)</t>
        </is>
      </c>
      <c r="G112" s="8" t="inlineStr">
        <is>
          <t>Não encontrado no corpus.</t>
        </is>
      </c>
      <c r="H112" s="8" t="inlineStr">
        <is>
          <t>LAI (Lei 12.527/2011) — Art. 8:p0; LAI (Lei 12.527/2011) — Art. 14:p0; LAI (Lei 12.527/2011) — Art. 11:p0; LAI (Lei 12.527/2011) — Art. 41:p0</t>
        </is>
      </c>
      <c r="I112" s="8" t="n">
        <v>2.38</v>
      </c>
      <c r="J112" s="8" t="n">
        <v>1578</v>
      </c>
      <c r="K112" s="8" t="n">
        <v>431</v>
      </c>
      <c r="L112" s="10">
        <f>IF(COUNT(J112:K112)=2,(J112*Parametros!$B$3+K112*Parametros!$B$4)/1000000*Parametros!$B$5,"")</f>
        <v/>
      </c>
      <c r="M112" s="8" t="n"/>
      <c r="N112" s="8" t="n"/>
      <c r="O112" s="8" t="n"/>
      <c r="P112" s="8" t="n"/>
      <c r="Q112" s="8" t="n"/>
      <c r="R112" s="9">
        <f>IF(COUNT(M112:Q112)=5,SUM(M112:Q112),"")</f>
        <v/>
      </c>
      <c r="S112" s="8" t="n"/>
      <c r="T112" s="8" t="n">
        <v>0</v>
      </c>
      <c r="U112" s="8" t="n">
        <v>0</v>
      </c>
      <c r="V112" s="11">
        <f>IF(AND(ISNUMBER(T112),T112&gt;0),U112/T112,"")</f>
        <v/>
      </c>
      <c r="W112" s="8" t="inlineStr"/>
    </row>
    <row r="113">
      <c r="A113" s="7" t="n">
        <v>12</v>
      </c>
      <c r="B113" s="7" t="inlineStr">
        <is>
          <t>RAG Fase 3</t>
        </is>
      </c>
      <c r="C113" s="9">
        <f>INDEX(Perguntas!$B$2:$B$26,MATCH(A113,Perguntas!$A$2:$A$26,0))</f>
        <v/>
      </c>
      <c r="D113" s="9">
        <f>INDEX(Perguntas!$C$2:$C$26,MATCH(A113,Perguntas!$A$2:$A$26,0))</f>
        <v/>
      </c>
      <c r="E113" s="8" t="inlineStr">
        <is>
          <t>2026-10-13</t>
        </is>
      </c>
      <c r="F113" s="8" t="inlineStr">
        <is>
          <t>groq/openai/gpt-oss-20b k=5 (f67f244)</t>
        </is>
      </c>
      <c r="G113" s="8" t="inlineStr">
        <is>
          <t>**Resposta Jurídica e Operacional**
Sim, é dever responder ao pedido de acesso à informação sobre os emolumentos arrecadados pela serventia.
**Fundamentação normativa**
- **LAI – Art. 10**: “Qualquer interessado poderá apresentar pedido de acesso a informações aos órgãos e entidades referidos no art. 1º desta Lei…”.  
- **LAI – Art. 14**: “É direito do requerente obter o inteiro teor de decisão de negativa de acesso, por certidão ou cópia.”  
O pedido trata de informação de interesse público (emolumentos arrecadados), não se enquadrando em nenhuma exceção prevista na LAI. Portanto, a serventia deve atender ao pedido, fornecendo os dados solicitados ou, se houver impedimento, justificando a negativa conforme previsto no art. 14.</t>
        </is>
      </c>
      <c r="H113" s="8" t="inlineStr">
        <is>
          <t>LAI (Lei 12.527/2011) — Art. 14:p0; Provimento CNJ 149/2023 — Art. 228-U:p134; LAI (Lei 12.527/2011) — Art. 10:p0; LAI (Lei 12.527/2011) — Art. 13:p0; Provimento CNJ 149/2023 — Art. 71-J:p35</t>
        </is>
      </c>
      <c r="I113" s="8" t="n">
        <v>2.4</v>
      </c>
      <c r="J113" s="8" t="n">
        <v>1458</v>
      </c>
      <c r="K113" s="8" t="n">
        <v>1540</v>
      </c>
      <c r="L113" s="10">
        <f>IF(COUNT(J113:K113)=2,(J113*Parametros!$B$3+K113*Parametros!$B$4)/1000000*Parametros!$B$5,"")</f>
        <v/>
      </c>
      <c r="M113" s="8" t="n"/>
      <c r="N113" s="8" t="n"/>
      <c r="O113" s="8" t="n"/>
      <c r="P113" s="8" t="n"/>
      <c r="Q113" s="8" t="n"/>
      <c r="R113" s="9">
        <f>IF(COUNT(M113:Q113)=5,SUM(M113:Q113),"")</f>
        <v/>
      </c>
      <c r="S113" s="8" t="n"/>
      <c r="T113" s="8" t="n">
        <v>3</v>
      </c>
      <c r="U113" s="8" t="n">
        <v>2</v>
      </c>
      <c r="V113" s="11">
        <f>IF(AND(ISNUMBER(T113),T113&gt;0),U113/T113,"")</f>
        <v/>
      </c>
      <c r="W113" s="8" t="inlineStr">
        <is>
          <t>Art. 1 (LAI (Lei 12.527/2011)) → NAO_RECUPERADA [recuperado em: nenhum trecho recuperado]</t>
        </is>
      </c>
    </row>
    <row r="114">
      <c r="A114" s="7" t="n">
        <v>13</v>
      </c>
      <c r="B114" s="7" t="inlineStr">
        <is>
          <t>RAG Fase 3</t>
        </is>
      </c>
      <c r="C114" s="9">
        <f>INDEX(Perguntas!$B$2:$B$26,MATCH(A114,Perguntas!$A$2:$A$26,0))</f>
        <v/>
      </c>
      <c r="D114" s="9">
        <f>INDEX(Perguntas!$C$2:$C$26,MATCH(A114,Perguntas!$A$2:$A$26,0))</f>
        <v/>
      </c>
      <c r="E114" s="8" t="inlineStr">
        <is>
          <t>2026-10-13</t>
        </is>
      </c>
      <c r="F114" s="8" t="inlineStr">
        <is>
          <t>groq/openai/gpt-oss-20b k=5 (f67f244)</t>
        </is>
      </c>
      <c r="G114" s="8" t="inlineStr">
        <is>
          <t>**Resposta**  
A certidão de inteiro teor **não pode** ser emitida sem incluir a averbação de interdição/curatela que consta na matrícula.  
**Fundamentação**  
- **Código de Normas CGJ‑CE, Art. 1131, § 10**: “No âmbito do registro de imóveis, a certidão de inteiro teor da matrícula conterá a reprodução de todo seu conteúdo e será suficiente para fins de comprovação de propriedade, direitos, ônus reais e restrições sobre o imóvel, independentemente de certificação específica pelo Oficial.”  
- **Lei 6.015/1973, Art. 19, § 11**: “No âmbito do registro de imóveis, a certidão de inteiro teor da matrícula conterá a reprodução de todo seu conteúdo e será suficiente para fins de comprovação de propriedade, direitos, ônus reais e restrições sobre o imóvel, independentemente de certificação específica pelo oficial.”  
Portanto, a certidão deve ser emitida **completa**, incluindo a averbação de interdição/curatela; não há possibilidade de emissão “sem restrição”.</t>
        </is>
      </c>
      <c r="H114" s="8" t="inlineStr">
        <is>
          <t>Código de Normas CGJ-CE — Art. 1131:p229; Lei 6.015/1973 — Art. 19:p0; Lei 6.015/1973 — Art. 230:p0; Código de Normas CGJ-CE — Art. 1416:p287; Provimento CNJ 149/2023 — Art. 201:p94</t>
        </is>
      </c>
      <c r="I114" s="8" t="n">
        <v>26.74</v>
      </c>
      <c r="J114" s="8" t="n">
        <v>1771</v>
      </c>
      <c r="K114" s="8" t="n">
        <v>656</v>
      </c>
      <c r="L114" s="10">
        <f>IF(COUNT(J114:K114)=2,(J114*Parametros!$B$3+K114*Parametros!$B$4)/1000000*Parametros!$B$5,"")</f>
        <v/>
      </c>
      <c r="M114" s="8" t="n"/>
      <c r="N114" s="8" t="n"/>
      <c r="O114" s="8" t="n"/>
      <c r="P114" s="8" t="n"/>
      <c r="Q114" s="8" t="n"/>
      <c r="R114" s="9">
        <f>IF(COUNT(M114:Q114)=5,SUM(M114:Q114),"")</f>
        <v/>
      </c>
      <c r="S114" s="8" t="n"/>
      <c r="T114" s="8" t="n">
        <v>2</v>
      </c>
      <c r="U114" s="8" t="n">
        <v>2</v>
      </c>
      <c r="V114" s="11">
        <f>IF(AND(ISNUMBER(T114),T114&gt;0),U114/T114,"")</f>
        <v/>
      </c>
      <c r="W114" s="8" t="inlineStr"/>
    </row>
    <row r="115">
      <c r="A115" s="7" t="n">
        <v>14</v>
      </c>
      <c r="B115" s="7" t="inlineStr">
        <is>
          <t>RAG Fase 3</t>
        </is>
      </c>
      <c r="C115" s="9">
        <f>INDEX(Perguntas!$B$2:$B$26,MATCH(A115,Perguntas!$A$2:$A$26,0))</f>
        <v/>
      </c>
      <c r="D115" s="9">
        <f>INDEX(Perguntas!$C$2:$C$26,MATCH(A115,Perguntas!$A$2:$A$26,0))</f>
        <v/>
      </c>
      <c r="E115" s="8" t="inlineStr">
        <is>
          <t>2026-10-13</t>
        </is>
      </c>
      <c r="F115" s="8" t="inlineStr">
        <is>
          <t>groq/openai/gpt-oss-20b k=5 (f67f244)</t>
        </is>
      </c>
      <c r="G115" s="8" t="inlineStr">
        <is>
          <t>**Resposta Jurídica e Operacional**
Não é necessário tarjar a averbação de doação a menor de idade (incapaz).  
**Fundamentação normativa**
- **Art. 1.267, § 1º – Código de Normas CGJ‑CE**  
  “Os relativamente incapazes poderão aceitar a doação, não constituindo óbice à lavratura do registro a inexistência de representação ou assistência destas pessoas no título apresentado.”  
- **Art. 1.267, § 3º – Código de Normas CGJ‑CE**  
  “Não se exigirá alvará judicial para a realização de doação pura e simples para menores, na forma do artigo 543 do Código Civil.”  
Esses dispositivos dispõem que a doação a menor pode ser registrada sem a necessidade de representação, assistência ou alvará judicial, e não há previsão de tarjar (proteção) nesse caso.  
**Conclusão**  
A averbação pode ser praticada integralmente, sem tarjar. Se houver dúvidas sobre a documentação, basta verificar a aceitação do menor e a ausência de impedimentos legais.</t>
        </is>
      </c>
      <c r="H115" s="8" t="inlineStr">
        <is>
          <t>Código de Normas CGJ-CE — Art. 1267:p258; Provimento CNJ 149/2023 — Art. 3 (ato de aprovação):p3; Código de Normas CGJ-CE — Art. 157:p62; Lei 6.015/1973 — Art. 247:p0; Lei 6.015/1973 — Art. 232:p0</t>
        </is>
      </c>
      <c r="I115" s="8" t="n">
        <v>14.04</v>
      </c>
      <c r="J115" s="8" t="n">
        <v>1361</v>
      </c>
      <c r="K115" s="8" t="n">
        <v>448</v>
      </c>
      <c r="L115" s="10">
        <f>IF(COUNT(J115:K115)=2,(J115*Parametros!$B$3+K115*Parametros!$B$4)/1000000*Parametros!$B$5,"")</f>
        <v/>
      </c>
      <c r="M115" s="8" t="n"/>
      <c r="N115" s="8" t="n"/>
      <c r="O115" s="8" t="n"/>
      <c r="P115" s="8" t="n"/>
      <c r="Q115" s="8" t="n"/>
      <c r="R115" s="9">
        <f>IF(COUNT(M115:Q115)=5,SUM(M115:Q115),"")</f>
        <v/>
      </c>
      <c r="S115" s="8" t="n"/>
      <c r="T115" s="8" t="n">
        <v>2</v>
      </c>
      <c r="U115" s="8" t="n">
        <v>1</v>
      </c>
      <c r="V115" s="11">
        <f>IF(AND(ISNUMBER(T115),T115&gt;0),U115/T115,"")</f>
        <v/>
      </c>
      <c r="W115" s="8" t="inlineStr">
        <is>
          <t>Art. 543 (OUTRA: codigo civil) → NAO_RECUPERADA [recuperado em: nenhum trecho recuperado]</t>
        </is>
      </c>
    </row>
    <row r="116">
      <c r="A116" s="7" t="n">
        <v>15</v>
      </c>
      <c r="B116" s="7" t="inlineStr">
        <is>
          <t>RAG Fase 3</t>
        </is>
      </c>
      <c r="C116" s="9">
        <f>INDEX(Perguntas!$B$2:$B$26,MATCH(A116,Perguntas!$A$2:$A$26,0))</f>
        <v/>
      </c>
      <c r="D116" s="9">
        <f>INDEX(Perguntas!$C$2:$C$26,MATCH(A116,Perguntas!$A$2:$A$26,0))</f>
        <v/>
      </c>
      <c r="E116" s="8" t="inlineStr">
        <is>
          <t>2026-10-13</t>
        </is>
      </c>
      <c r="F116" s="8" t="inlineStr">
        <is>
          <t>groq/openai/gpt-oss-120b k=5 (f67f244)</t>
        </is>
      </c>
      <c r="G116" s="8" t="inlineStr">
        <is>
          <t>**Resposta:** Indeferir o pedido via **Nota Devolutiva**.
**Fundamentação jurídica**
1. **LGPD – Tratamento de dados pessoais sensíveis**  
   - **Art. 11, inc. I** – O tratamento de dados sensíveis (como dados de saúde) só pode ocorrer quando houver consentimento específico e destacado do titular para a finalidade pretendida.  
   - **Art. 11, inc. II, alínea a** – Na ausência de consentimento, o tratamento só é permitido quando for indispensável para o cumprimento de obrigação legal ou regulatória. O simples fornecimento de cópia de documento arquivado a terceiro não se enquadra em nenhuma das hipóteses previstas (não há obrigação legal que imponha a divulgação, nem outra hipótese autorizadora).  
2. **Procedimentos de certidão e cópia de documentos arquivados**  
   - **Código de Normas CGJ‑CE, art. 1.128** e **art. 1.680**, §§ 1º e 2º – Os pedidos de certidão ou de documentos arquivados dependem de identificação do requerente e, quando não houver previsão legal específica de expedição, também exigem indicação da finalidade. Contudo, esses dispositivos tratam apenas da **exigência de identificação** e **finalidade**, não autorizam a divulgação de dados sensíveis que estejam protegidos pela LGPD.  
3. **Conflito de normas**  
   - A LGPD tem hierarquia superior no que tange à proteção de dados pessoais sensíveis. Assim, ainda que o requerente esteja devidamente identificado (conforme art. 1.128/1.680 da CGJ‑CE), a ausência de consentimento ou de hipótese legal que autorize o tratamento impede a prática do ato registral.  
4. **Direito de acesso do titular**  
   - **LGPD, art. 19** – O titular pode requerer acesso aos seus próprios dados, mas o pedido em questão não foi formulado pelo titular nem há comprovação de consentimento. Portanto, o direito de acesso não se aplica ao requerente.  
**Conclusão operacional**
- **Deve ser indeferido** o pedido de cópia do documento arquivado que contém dados de saúde, mediante emissão de **Nota Devolutiva** fundamentada nos dispositivos acima citados (LGPD art. 11, inc. I e II; Código de Normas CGJ‑CE art. 1.128 e art. 1.680).  
*Obs.: Caso o requerente seja o titular dos dados ou apresente consentimento específico e destacado, o pedido poderia ser analisado sob a ótica do art. 11, inc. I, permitindo a entrega da cópia.*</t>
        </is>
      </c>
      <c r="H116" s="8" t="inlineStr">
        <is>
          <t>LGPD (Lei 13.709/2018) — Art. 11:p0; Provimento CNJ 149/2023 — Art. 123:p56; Código de Normas CGJ-CE — Art. 1128:p229; Código de Normas CGJ-CE — Art. 1680:p344; LGPD (Lei 13.709/2018) — Art. 19:p0</t>
        </is>
      </c>
      <c r="I116" s="8" t="n">
        <v>3.27</v>
      </c>
      <c r="J116" s="8" t="n">
        <v>2082</v>
      </c>
      <c r="K116" s="8" t="n">
        <v>1202</v>
      </c>
      <c r="L116" s="10">
        <f>IF(COUNT(J116:K116)=2,(J116*Parametros!$B$3+K116*Parametros!$B$4)/1000000*Parametros!$B$5,"")</f>
        <v/>
      </c>
      <c r="M116" s="8" t="n"/>
      <c r="N116" s="8" t="n"/>
      <c r="O116" s="8" t="n"/>
      <c r="P116" s="8" t="n"/>
      <c r="Q116" s="8" t="n"/>
      <c r="R116" s="9">
        <f>IF(COUNT(M116:Q116)=5,SUM(M116:Q116),"")</f>
        <v/>
      </c>
      <c r="S116" s="8" t="n"/>
      <c r="T116" s="8" t="n">
        <v>5</v>
      </c>
      <c r="U116" s="8" t="n">
        <v>5</v>
      </c>
      <c r="V116" s="11">
        <f>IF(AND(ISNUMBER(T116),T116&gt;0),U116/T116,"")</f>
        <v/>
      </c>
      <c r="W116" s="8" t="inlineStr"/>
    </row>
    <row r="117">
      <c r="A117" s="7" t="n">
        <v>16</v>
      </c>
      <c r="B117" s="7" t="inlineStr">
        <is>
          <t>RAG Fase 3</t>
        </is>
      </c>
      <c r="C117" s="9">
        <f>INDEX(Perguntas!$B$2:$B$26,MATCH(A117,Perguntas!$A$2:$A$26,0))</f>
        <v/>
      </c>
      <c r="D117" s="9">
        <f>INDEX(Perguntas!$C$2:$C$26,MATCH(A117,Perguntas!$A$2:$A$26,0))</f>
        <v/>
      </c>
      <c r="E117" s="8" t="inlineStr">
        <is>
          <t>2026-10-13</t>
        </is>
      </c>
      <c r="F117" s="8" t="inlineStr">
        <is>
          <t>groq/openai/gpt-oss-20b k=5 (f67f244)</t>
        </is>
      </c>
      <c r="G117" s="8" t="inlineStr">
        <is>
          <t>Não encontrado no corpus.</t>
        </is>
      </c>
      <c r="H117" s="8" t="inlineStr">
        <is>
          <t>Provimento CNJ 149/2023 — Art. 124:p57; Provimento CNJ 149/2023 — Art. 105:p52; Provimento CNJ 149/2023 — Art. 100:p51; Código de Normas CGJ-CE — Art. 195:p68; Provimento CNJ 149/2023 — Art. 104:p52</t>
        </is>
      </c>
      <c r="I117" s="8" t="n">
        <v>0.82</v>
      </c>
      <c r="J117" s="8" t="n">
        <v>1176</v>
      </c>
      <c r="K117" s="8" t="n">
        <v>282</v>
      </c>
      <c r="L117" s="10">
        <f>IF(COUNT(J117:K117)=2,(J117*Parametros!$B$3+K117*Parametros!$B$4)/1000000*Parametros!$B$5,"")</f>
        <v/>
      </c>
      <c r="M117" s="8" t="n"/>
      <c r="N117" s="8" t="n"/>
      <c r="O117" s="8" t="n"/>
      <c r="P117" s="8" t="n"/>
      <c r="Q117" s="8" t="n"/>
      <c r="R117" s="9">
        <f>IF(COUNT(M117:Q117)=5,SUM(M117:Q117),"")</f>
        <v/>
      </c>
      <c r="S117" s="8" t="n"/>
      <c r="T117" s="8" t="n">
        <v>0</v>
      </c>
      <c r="U117" s="8" t="n">
        <v>0</v>
      </c>
      <c r="V117" s="11">
        <f>IF(AND(ISNUMBER(T117),T117&gt;0),U117/T117,"")</f>
        <v/>
      </c>
      <c r="W117" s="8" t="inlineStr"/>
    </row>
    <row r="118">
      <c r="A118" s="7" t="n">
        <v>17</v>
      </c>
      <c r="B118" s="7" t="inlineStr">
        <is>
          <t>RAG Fase 3</t>
        </is>
      </c>
      <c r="C118" s="9">
        <f>INDEX(Perguntas!$B$2:$B$26,MATCH(A118,Perguntas!$A$2:$A$26,0))</f>
        <v/>
      </c>
      <c r="D118" s="9">
        <f>INDEX(Perguntas!$C$2:$C$26,MATCH(A118,Perguntas!$A$2:$A$26,0))</f>
        <v/>
      </c>
      <c r="E118" s="8" t="inlineStr">
        <is>
          <t>2026-10-13</t>
        </is>
      </c>
      <c r="F118" s="8" t="inlineStr">
        <is>
          <t>groq/openai/gpt-oss-20b k=5 (f67f244)</t>
        </is>
      </c>
      <c r="G118" s="8" t="inlineStr">
        <is>
          <t>Não encontrado no corpus.</t>
        </is>
      </c>
      <c r="H118" s="8" t="inlineStr">
        <is>
          <t>Código de Normas CGJ-CE — Art. 193:p67; Provimento CNJ 149/2023 — Art. 105:p52; Provimento CNJ 149/2023 — Art. 124:p57; Provimento CNJ 149/2023 — Art. 104:p52; Provimento CNJ 149/2023 — Art. 128:p57</t>
        </is>
      </c>
      <c r="I118" s="8" t="n">
        <v>10.11</v>
      </c>
      <c r="J118" s="8" t="n">
        <v>1417</v>
      </c>
      <c r="K118" s="8" t="n">
        <v>427</v>
      </c>
      <c r="L118" s="10">
        <f>IF(COUNT(J118:K118)=2,(J118*Parametros!$B$3+K118*Parametros!$B$4)/1000000*Parametros!$B$5,"")</f>
        <v/>
      </c>
      <c r="M118" s="8" t="n"/>
      <c r="N118" s="8" t="n"/>
      <c r="O118" s="8" t="n"/>
      <c r="P118" s="8" t="n"/>
      <c r="Q118" s="8" t="n"/>
      <c r="R118" s="9">
        <f>IF(COUNT(M118:Q118)=5,SUM(M118:Q118),"")</f>
        <v/>
      </c>
      <c r="S118" s="8" t="n"/>
      <c r="T118" s="8" t="n">
        <v>0</v>
      </c>
      <c r="U118" s="8" t="n">
        <v>0</v>
      </c>
      <c r="V118" s="11">
        <f>IF(AND(ISNUMBER(T118),T118&gt;0),U118/T118,"")</f>
        <v/>
      </c>
      <c r="W118" s="8" t="inlineStr"/>
    </row>
    <row r="119">
      <c r="A119" s="7" t="n">
        <v>18</v>
      </c>
      <c r="B119" s="7" t="inlineStr">
        <is>
          <t>RAG Fase 3</t>
        </is>
      </c>
      <c r="C119" s="9">
        <f>INDEX(Perguntas!$B$2:$B$26,MATCH(A119,Perguntas!$A$2:$A$26,0))</f>
        <v/>
      </c>
      <c r="D119" s="9">
        <f>INDEX(Perguntas!$C$2:$C$26,MATCH(A119,Perguntas!$A$2:$A$26,0))</f>
        <v/>
      </c>
      <c r="E119" s="8" t="inlineStr">
        <is>
          <t>2026-10-13</t>
        </is>
      </c>
      <c r="F119" s="8" t="inlineStr">
        <is>
          <t>groq/openai/gpt-oss-20b k=5 (f67f244)</t>
        </is>
      </c>
      <c r="G119" s="8" t="inlineStr"/>
      <c r="H119" s="8" t="inlineStr">
        <is>
          <t>LGPD (Lei 13.709/2018) — Art. 9:p0; LGPD (Lei 13.709/2018) — Art. 18:p0; LGPD (Lei 13.709/2018) — Art. 11:p0; LGPD (Lei 13.709/2018) — Art. 4:p0; LGPD (Lei 13.709/2018) — Art. 20:p0</t>
        </is>
      </c>
      <c r="I119" s="8" t="n">
        <v>18.13</v>
      </c>
      <c r="J119" s="8" t="n">
        <v>1799</v>
      </c>
      <c r="K119" s="8" t="n">
        <v>2048</v>
      </c>
      <c r="L119" s="10">
        <f>IF(COUNT(J119:K119)=2,(J119*Parametros!$B$3+K119*Parametros!$B$4)/1000000*Parametros!$B$5,"")</f>
        <v/>
      </c>
      <c r="M119" s="8" t="n"/>
      <c r="N119" s="8" t="n"/>
      <c r="O119" s="8" t="n"/>
      <c r="P119" s="8" t="n"/>
      <c r="Q119" s="8" t="n"/>
      <c r="R119" s="9">
        <f>IF(COUNT(M119:Q119)=5,SUM(M119:Q119),"")</f>
        <v/>
      </c>
      <c r="S119" s="8" t="n"/>
      <c r="T119" s="8" t="n">
        <v>0</v>
      </c>
      <c r="U119" s="8" t="n">
        <v>0</v>
      </c>
      <c r="V119" s="11">
        <f>IF(AND(ISNUMBER(T119),T119&gt;0),U119/T119,"")</f>
        <v/>
      </c>
      <c r="W119" s="8" t="inlineStr"/>
    </row>
    <row r="120">
      <c r="A120" s="7" t="n">
        <v>19</v>
      </c>
      <c r="B120" s="7" t="inlineStr">
        <is>
          <t>RAG Fase 3</t>
        </is>
      </c>
      <c r="C120" s="9">
        <f>INDEX(Perguntas!$B$2:$B$26,MATCH(A120,Perguntas!$A$2:$A$26,0))</f>
        <v/>
      </c>
      <c r="D120" s="9">
        <f>INDEX(Perguntas!$C$2:$C$26,MATCH(A120,Perguntas!$A$2:$A$26,0))</f>
        <v/>
      </c>
      <c r="E120" s="8" t="inlineStr">
        <is>
          <t>2026-10-13</t>
        </is>
      </c>
      <c r="F120" s="8" t="inlineStr">
        <is>
          <t>groq/openai/gpt-oss-20b k=5 (f67f244)</t>
        </is>
      </c>
      <c r="G120" s="8" t="inlineStr"/>
      <c r="H120" s="8" t="inlineStr">
        <is>
          <t>Guia ANPD — Agentes de Tratamento — p. 8:p8; Código de Normas CGJ-CE — Art. 1461:p299; Provimento CNJ 149/2023 — Art. 415:p265; LAI (Lei 12.527/2011) — Art. 30:p0; Provimento CNJ 149/2023 — Art. 89:p47</t>
        </is>
      </c>
      <c r="I120" s="8" t="n">
        <v>30.84</v>
      </c>
      <c r="J120" s="8" t="n">
        <v>1851</v>
      </c>
      <c r="K120" s="8" t="n">
        <v>2048</v>
      </c>
      <c r="L120" s="10">
        <f>IF(COUNT(J120:K120)=2,(J120*Parametros!$B$3+K120*Parametros!$B$4)/1000000*Parametros!$B$5,"")</f>
        <v/>
      </c>
      <c r="M120" s="8" t="n"/>
      <c r="N120" s="8" t="n"/>
      <c r="O120" s="8" t="n"/>
      <c r="P120" s="8" t="n"/>
      <c r="Q120" s="8" t="n"/>
      <c r="R120" s="9">
        <f>IF(COUNT(M120:Q120)=5,SUM(M120:Q120),"")</f>
        <v/>
      </c>
      <c r="S120" s="8" t="n"/>
      <c r="T120" s="8" t="n">
        <v>0</v>
      </c>
      <c r="U120" s="8" t="n">
        <v>0</v>
      </c>
      <c r="V120" s="11">
        <f>IF(AND(ISNUMBER(T120),T120&gt;0),U120/T120,"")</f>
        <v/>
      </c>
      <c r="W120" s="8" t="inlineStr"/>
    </row>
    <row r="121">
      <c r="A121" s="7" t="n">
        <v>20</v>
      </c>
      <c r="B121" s="7" t="inlineStr">
        <is>
          <t>RAG Fase 3</t>
        </is>
      </c>
      <c r="C121" s="9">
        <f>INDEX(Perguntas!$B$2:$B$26,MATCH(A121,Perguntas!$A$2:$A$26,0))</f>
        <v/>
      </c>
      <c r="D121" s="9">
        <f>INDEX(Perguntas!$C$2:$C$26,MATCH(A121,Perguntas!$A$2:$A$26,0))</f>
        <v/>
      </c>
      <c r="E121" s="8" t="inlineStr">
        <is>
          <t>2026-10-13</t>
        </is>
      </c>
      <c r="F121" s="8" t="inlineStr">
        <is>
          <t>groq/openai/gpt-oss-120b k=5 (f67f244)</t>
        </is>
      </c>
      <c r="G121" s="8" t="inlineStr">
        <is>
          <t>**Procedimento a ser adotado:** **Retificação integral da matrícula**, nos termos do **Art. 1.386 do Código de Normas da CGJ‑CE**, mediante requerimento do titular.  
---
### Fundamentação normativa
1. **Código de Normas CGJ‑CE – Art. 1.386**  
   &gt; “No que diz respeito à **retificação de dados de qualificação pessoal das partes**, caberá ao Oficial do Registro de Imóveis somente **retificar o erro à margem do registro** (matrícula, transcrição ou inscrição) do nome e estado civil do proprietário, que deverá apresentar requerimento com firma reconhecida ou assinado digitalmente, quando comprovado:  
   &gt; a) que o nome lançado no assento não corresponde ao nome apresentado no registro civil …;  
   &gt; b) que se trata do titular do domínio.”
   → O pedido do titular enquadra‑se exatamente nessa hipótese: correção de dado pessoal (nome/estado civil) constante da matrícula.
2. **LGPD – Art. 5, inc. I (definição de dado pessoal)**  
   &gt; “**Dado pessoal**: informação relacionada a pessoa natural identificada ou identificável.”  
   O nome ou estado civil constante da matrícula são dados pessoais, logo a LGPD reconhece o direito à correção.
3. **LGPD – Art. 7, inc. VI (tratamento para exercício regular de direitos)**  
   &gt; “Para o **exercício regular de direitos em processo judicial, administrativo ou arbitral**.”  
   A correção de dados no registro imobiliário é necessária para o exercício de direitos reais sobre o bem.
4. **LGPD – Art. 18, § 5º**  
   &gt; “O requerimento referido no § 3º deste artigo será atendido **sem custos para o titular**, nos prazos e nos termos previstos em regulamento.”  
   Assim, o titular tem direito à correção sem ônus, devendo ser atendido pelo cartório mediante a retificação prevista no art. 1.386.
---
### Passos operacionais (conforme Art. 1.386)
1. **Requerimento do titular** – deverá ser apresentado com **firma reconhecida** ou **assinatura digital**.  
2. **Documentação comprobatória** – certidão de nascimento, casamento ou registro de estrangeiro, conforme o caso, para demonstrar a divergência entre o dado registrado e o dado constante do registro civil.  
3. **Análise pelo Oficial** – verificação da autenticidade dos documentos e da pertinência do pedido.  
4. **Retificação à margem** – inserção da correção na matrícula, transcrição ou inscrição, mantendo a integridade do histórico registral.  
5. **Comunicação ao titular** – informe de que a retificação foi efetuada, sem custos, nos termos do § 5º do Art. 18 da LGPD.
---
### Conclusão
O pedido de correção de dado pessoal errado na matrícula deve ser **praticado integralmente como retificação registral**, nos termos do **Art. 1.386 do Código de Normas da CGJ‑CE**, atendendo simultaneamente ao direito de correção previsto na LGPD (Art. 5, I; Art. 7, VI; Art. 18, § 5º). Não há necessidade de indeferimento ou de aplicação de “tarjamento protetivo”.</t>
        </is>
      </c>
      <c r="H121" s="8" t="inlineStr">
        <is>
          <t>LGPD (Lei 13.709/2018) — Art. 18:p0; LGPD (Lei 13.709/2018) — Art. 5:p0; Código de Normas CGJ-CE — Art. 1386:p281; LGPD (Lei 13.709/2018) — Art. 7:p0</t>
        </is>
      </c>
      <c r="I121" s="8" t="n">
        <v>2.83</v>
      </c>
      <c r="J121" s="8" t="n">
        <v>1776</v>
      </c>
      <c r="K121" s="8" t="n">
        <v>1081</v>
      </c>
      <c r="L121" s="10">
        <f>IF(COUNT(J121:K121)=2,(J121*Parametros!$B$3+K121*Parametros!$B$4)/1000000*Parametros!$B$5,"")</f>
        <v/>
      </c>
      <c r="M121" s="8" t="n"/>
      <c r="N121" s="8" t="n"/>
      <c r="O121" s="8" t="n"/>
      <c r="P121" s="8" t="n"/>
      <c r="Q121" s="8" t="n"/>
      <c r="R121" s="9">
        <f>IF(COUNT(M121:Q121)=5,SUM(M121:Q121),"")</f>
        <v/>
      </c>
      <c r="S121" s="8" t="n"/>
      <c r="T121" s="8" t="n">
        <v>7</v>
      </c>
      <c r="U121" s="8" t="n">
        <v>7</v>
      </c>
      <c r="V121" s="11">
        <f>IF(AND(ISNUMBER(T121),T121&gt;0),U121/T121,"")</f>
        <v/>
      </c>
      <c r="W121" s="8" t="inlineStr"/>
    </row>
    <row r="122">
      <c r="A122" s="7" t="n">
        <v>21</v>
      </c>
      <c r="B122" s="7" t="inlineStr">
        <is>
          <t>RAG Fase 3</t>
        </is>
      </c>
      <c r="C122" s="9">
        <f>INDEX(Perguntas!$B$2:$B$26,MATCH(A122,Perguntas!$A$2:$A$26,0))</f>
        <v/>
      </c>
      <c r="D122" s="9">
        <f>INDEX(Perguntas!$C$2:$C$26,MATCH(A122,Perguntas!$A$2:$A$26,0))</f>
        <v/>
      </c>
      <c r="E122" s="8" t="inlineStr">
        <is>
          <t>2026-10-13</t>
        </is>
      </c>
      <c r="F122" s="8" t="inlineStr">
        <is>
          <t>groq/openai/gpt-oss-120b k=5 (f67f244)</t>
        </is>
      </c>
      <c r="G122" s="8" t="inlineStr">
        <is>
          <t>**Resposta:** Indeferido via Nota Devolutiva.
**Fundamentação normativa**
1. **Provimento CNJ 149/2023 – Art. 148**  
   &gt; “As entidades representativas dos notários e dos registradores poderão firmar convênio com a RFB, as Juntas Comerciais dos estados, o Departamento de Registro Empresarial e Integração (DREI), a Comissão de Valores Mobiliários (CVM) e quaisquer outros órgãos… com o objetivo de manter atualizado o cadastro de que trata esta seção.”  
   – O dispositivo restringe a celebração de convênios **exclusivamente às entidades representativas dos notários e dos registradores**. Uma empresa privada (imobiliária/fintech) não se enquadra nessa categoria, logo não possui legitimidade para firmar convênio nos termos do art. 148.
2. **Provimento CNJ 149/2023 – Art. 168**  
   &gt; “O CNB/CF poderá firmar convênio com a RFB, as Juntas Comerciais dos estados, o Departamento de Registro Empresarial e Integração (DREI), a Comissão de Valores Mobiliários (CVM)… com o objetivo de manter atualizado o cadastro de que trata esta subseção.”  
   – Também limita a possibilidade de convênio ao **CNB/CF** (Conselho Nacional de Notários e Registradores), não a empresas privadas.
3. **Provimento CNJ 149/2023 – Art. 334**  
   &gt; “O acesso dos oficiais de registro de imóveis ao Programa Gerador e Validador será feito mediante certificado digital ICP‑Brasil ou comunicação por Application Programming Interface (API).”  
   – O acesso ao PGV está **restrito aos oficiais de registro** (ou prepostos designados), mediante certificado digital ou API, não sendo previsto acesso direto a terceiros que não sejam oficiais ou seus prepostos.
**Conclusão prática**
- Não há previsão legal que autorize a celebração de convênio entre o Cartório de Registro de Imóveis e uma empresa privada para fornecimento de dados de matrículas em lote ou via API.  
- O acesso ao Programa Gerador e Validador (PGV) está limitado a oficiais de registro, mediante certificado digital ou API, conforme art. 334.  
- Portanto, o pedido de convênio deve ser **indeferido** e formalizado mediante **Nota Devolutiva**, indicando a inexistência de amparo normativo para a celebração do referido convênio.</t>
        </is>
      </c>
      <c r="H122" s="8" t="inlineStr">
        <is>
          <t>Provimento CNJ 149/2023 — Art. 168:p83; Provimento CNJ 149/2023 — Art. 148:p71; Provimento CNJ 149/2023 — Art. 334:p212; Lei 6.015/1973 — Art. 237-A:p0; Código de Normas CGJ-CE — Art. 1167:p237</t>
        </is>
      </c>
      <c r="I122" s="8" t="n">
        <v>2.48</v>
      </c>
      <c r="J122" s="8" t="n">
        <v>1615</v>
      </c>
      <c r="K122" s="8" t="n">
        <v>911</v>
      </c>
      <c r="L122" s="10">
        <f>IF(COUNT(J122:K122)=2,(J122*Parametros!$B$3+K122*Parametros!$B$4)/1000000*Parametros!$B$5,"")</f>
        <v/>
      </c>
      <c r="M122" s="8" t="n"/>
      <c r="N122" s="8" t="n"/>
      <c r="O122" s="8" t="n"/>
      <c r="P122" s="8" t="n"/>
      <c r="Q122" s="8" t="n"/>
      <c r="R122" s="9">
        <f>IF(COUNT(M122:Q122)=5,SUM(M122:Q122),"")</f>
        <v/>
      </c>
      <c r="S122" s="8" t="n"/>
      <c r="T122" s="8" t="n">
        <v>5</v>
      </c>
      <c r="U122" s="8" t="n">
        <v>5</v>
      </c>
      <c r="V122" s="11">
        <f>IF(AND(ISNUMBER(T122),T122&gt;0),U122/T122,"")</f>
        <v/>
      </c>
      <c r="W122" s="8" t="inlineStr"/>
    </row>
    <row r="123">
      <c r="A123" s="7" t="n">
        <v>22</v>
      </c>
      <c r="B123" s="7" t="inlineStr">
        <is>
          <t>RAG Fase 3</t>
        </is>
      </c>
      <c r="C123" s="9">
        <f>INDEX(Perguntas!$B$2:$B$26,MATCH(A123,Perguntas!$A$2:$A$26,0))</f>
        <v/>
      </c>
      <c r="D123" s="9">
        <f>INDEX(Perguntas!$C$2:$C$26,MATCH(A123,Perguntas!$A$2:$A$26,0))</f>
        <v/>
      </c>
      <c r="E123" s="8" t="inlineStr">
        <is>
          <t>2026-10-13</t>
        </is>
      </c>
      <c r="F123" s="8" t="inlineStr">
        <is>
          <t>groq/openai/gpt-oss-120b k=5 (f67f244)</t>
        </is>
      </c>
      <c r="G123" s="8" t="inlineStr">
        <is>
          <t>**Resposta:** O compartilhamento de dados com o Operador Nacional de Registro Eletrônico de Imóveis (ONR) / SREI e com as centrais de serviços eletrônicos pode ser realizado **integralmente**, sem a exigência de consentimento adicional ou de base legal suplementar, desde que observados os requisitos já previstos nos dispositivos normativos citados.
---
### Fundamentação normativa
| Norma | Dispositivo | Conteúdo relevante |
|-------|-------------|--------------------|
| **Código de Normas CGJ‑CE** | Art. 1749 | “Os responsáveis pelas serventias de registro de imóveis … adotarão as medidas necessárias para a integração, diretamente com o representante legal do ONR – Operador Nacional de Registro Eletrônico de Imóveis.” |
| **Provimento CNJ 149/2023** | Art. 101 | “O compartilhamento de dados com centrais de serviços eletrônicos compartilhados é compatível com a proteção de dados pessoais, devendo as centrais observar a adequação, necessidade e persecução da finalidade dos dados a serem compartilhados …” |
| **Provimento CNJ 149/2023** | Art. 101, parágrafo único | “Deverá ser dada preferência … à modalidade de descentralização das bases de dados … evitando a transferência de bases de dados, salvo quando necessária para atingir a finalidade das centrais …” |
| **Código de Normas CGJ‑CE** | Art. 196 | Reitera o mesmo princípio do art. 101 do Provimento CNJ 149/2023, reforçando a adequação, necessidade e finalidade como requisitos para o compartilhamento. |
Esses dispositivos já constituem a **base legal** para o tratamento e o compartilhamento de dados pessoais no âmbito do SREI/ONR e das centrais eletrônicas, atendendo aos princípios da LGPD (adequação, necessidade e finalidade) sem necessidade de consentimento específico do titular, quando o tratamento for indispensável ao cumprimento das finalidades previstas na lei de registros (Lei 6.015/1973) e nos regulamentos citados.
---
### Conclusão prática
- **Ato registral:** pode ser praticado **integralmente**.  
- **Tarjamento protetivo:** não se impõe, pois a normativa já garante a proteção dos dados mediante os requisitos de adequação, necessidade e finalidade.  
- **Nota Devolutiva:** indeferimento não se justifica, já que não há exigência de consentimento adicional nem de base legal suplementar.
**Portanto, o compartilhamento com ONR/SREI e com as centrais eletrônicas está plenamente amparado pelos artigos 1749 do Código de Normas CGJ‑CE, 101 (e seu parágrafo único) do Provimento CNJ 149/2023 e 196 do Código de Normas CGJ‑CE, não sendo necessário obter consentimento ou outra base legal adicional.**</t>
        </is>
      </c>
      <c r="H123" s="8" t="inlineStr">
        <is>
          <t>Código de Normas CGJ-CE — Art. 1749:p357; Provimento CNJ 149/2023 — Art. 101:p51; Código de Normas CGJ-CE — Art. 196:p68; Provimento CNJ 149/2023 — Art. 321:p208; Provimento CNJ 149/2023 — Art. 219:p118</t>
        </is>
      </c>
      <c r="I123" s="8" t="n">
        <v>2.62</v>
      </c>
      <c r="J123" s="8" t="n">
        <v>1529</v>
      </c>
      <c r="K123" s="8" t="n">
        <v>969</v>
      </c>
      <c r="L123" s="10">
        <f>IF(COUNT(J123:K123)=2,(J123*Parametros!$B$3+K123*Parametros!$B$4)/1000000*Parametros!$B$5,"")</f>
        <v/>
      </c>
      <c r="M123" s="8" t="n"/>
      <c r="N123" s="8" t="n"/>
      <c r="O123" s="8" t="n"/>
      <c r="P123" s="8" t="n"/>
      <c r="Q123" s="8" t="n"/>
      <c r="R123" s="9">
        <f>IF(COUNT(M123:Q123)=5,SUM(M123:Q123),"")</f>
        <v/>
      </c>
      <c r="S123" s="8" t="n"/>
      <c r="T123" s="8" t="n">
        <v>3</v>
      </c>
      <c r="U123" s="8" t="n">
        <v>3</v>
      </c>
      <c r="V123" s="11">
        <f>IF(AND(ISNUMBER(T123),T123&gt;0),U123/T123,"")</f>
        <v/>
      </c>
      <c r="W123" s="8" t="inlineStr"/>
    </row>
    <row r="124">
      <c r="A124" s="7" t="n">
        <v>23</v>
      </c>
      <c r="B124" s="7" t="inlineStr">
        <is>
          <t>RAG Fase 3</t>
        </is>
      </c>
      <c r="C124" s="9">
        <f>INDEX(Perguntas!$B$2:$B$26,MATCH(A124,Perguntas!$A$2:$A$26,0))</f>
        <v/>
      </c>
      <c r="D124" s="9">
        <f>INDEX(Perguntas!$C$2:$C$26,MATCH(A124,Perguntas!$A$2:$A$26,0))</f>
        <v/>
      </c>
      <c r="E124" s="8" t="inlineStr">
        <is>
          <t>2026-10-13</t>
        </is>
      </c>
      <c r="F124" s="8" t="inlineStr">
        <is>
          <t>groq/openai/gpt-oss-20b k=5 (f67f244)</t>
        </is>
      </c>
      <c r="G124" s="8" t="inlineStr">
        <is>
          <t>**O que mudou com o Provimento nº 15/2026/CGJCE na qualificação das partes para registro?**
O provimento alterou a redação dos requisitos de qualificação das partes no registro, conforme disposto no **Art. 1.103** (Código de Normas CGJ‑CE) e no **Art. 817** (Código de Normas CGJ‑CE).  
1. **Art. 1.103 – Incisos II e V**  
   - **Inciso II** passou a exigir, para pessoa natural, a **qualificação completa** que inclui:  
     - nome, domicílio e nacionalidade;  
     - **estado civil**;  
     - **regime de bens do casamento ou da união estável** (se declarado no instrumento);  
     - **profissão**;  
     - **número de inscrição no CPF ou documento de identidade**; ou, na falta deste, a **filiação**.  
   - Para pessoa jurídica, a qualificação deve conter:  
     - **denominação social**;  
     - **número de inscrição no CNPJ**;  
     - **sede**.  
   - **Inciso V** passou a exigir, além do valor do contrato, da coisa ou da dívida, a informação de:  
     - prazo;  
     - condições;  
     - encargos;  
     - juros.  
2. **Parágrafo único do Art. 1.103**  
   - Foi incluído um parágrafo único que **venda a prática de ato registral** com determinados requisitos não atendidos (ex.: ausência de qualificação completa, falta de regime de bens declarado, etc.).  
3. **Art. 817 – Alínea “a” do Inciso I**  
   - A redação da alínea “a” do inciso I do art. 817 foi revista para reforçar a obrigatoriedade de incluir, para pessoa física, nacionalidade, estado civil, profissão, número do documento de identidade e repartição expedidora, número de inscrição no CPF, filiação, domicílio e residência, nome do cônjuge ou companheiro (quando for o caso) e regime de bens do casamento ou da união estável (se declarado pelas partes).  
**Resumo da mudança:**  
O provimento ampliou e detalhou a qualificação das partes, exigindo a inclusão de estado civil, regime de bens, profissão, CPF ou identidade (ou filiação) para pessoas físicas, e denominação, CNPJ e sede para pessoas jurídicas, além de reforçar a obrigatoriedade de registrar o regime de bens declarado. O parágrafo único agora proíbe a prática de atos registrais que não atendam a esses requisitos.  
**Dispositivos citados:**  
- Art. 1.103, incisos II e V, parágrafo único (Código de Normas CGJ‑CE).  
- Art. 817, alínea “a” do inciso I (Código de Normas CGJ‑CE).</t>
        </is>
      </c>
      <c r="H124" s="8" t="inlineStr">
        <is>
          <t>Provimento 15/2026/CGJCE — Art. 1:p2; Provimento 15/2026/CGJCE — Preâmbulo:p1; Código de Normas CGJ-CE — Art. 1103:p224</t>
        </is>
      </c>
      <c r="I124" s="8" t="n">
        <v>9.35</v>
      </c>
      <c r="J124" s="8" t="n">
        <v>1500</v>
      </c>
      <c r="K124" s="8" t="n">
        <v>1475</v>
      </c>
      <c r="L124" s="10">
        <f>IF(COUNT(J124:K124)=2,(J124*Parametros!$B$3+K124*Parametros!$B$4)/1000000*Parametros!$B$5,"")</f>
        <v/>
      </c>
      <c r="M124" s="8" t="n"/>
      <c r="N124" s="8" t="n"/>
      <c r="O124" s="8" t="n"/>
      <c r="P124" s="8" t="n"/>
      <c r="Q124" s="8" t="n"/>
      <c r="R124" s="9">
        <f>IF(COUNT(M124:Q124)=5,SUM(M124:Q124),"")</f>
        <v/>
      </c>
      <c r="S124" s="8" t="n"/>
      <c r="T124" s="8" t="n">
        <v>4</v>
      </c>
      <c r="U124" s="8" t="n">
        <v>2</v>
      </c>
      <c r="V124" s="11">
        <f>IF(AND(ISNUMBER(T124),T124&gt;0),U124/T124,"")</f>
        <v/>
      </c>
      <c r="W124" s="8" t="inlineStr">
        <is>
          <t>Art. 817 (Código de Normas CGJ-CE) → NAO_RECUPERADA [recuperado em: nenhum trecho recuperado]; Art. 817 (norma não informada) → NAO_RECUPERADA [recuperado em: nenhum trecho recuperado]</t>
        </is>
      </c>
    </row>
    <row r="125">
      <c r="A125" s="7" t="n">
        <v>24</v>
      </c>
      <c r="B125" s="7" t="inlineStr">
        <is>
          <t>RAG Fase 3</t>
        </is>
      </c>
      <c r="C125" s="9">
        <f>INDEX(Perguntas!$B$2:$B$26,MATCH(A125,Perguntas!$A$2:$A$26,0))</f>
        <v/>
      </c>
      <c r="D125" s="9">
        <f>INDEX(Perguntas!$C$2:$C$26,MATCH(A125,Perguntas!$A$2:$A$26,0))</f>
        <v/>
      </c>
      <c r="E125" s="8" t="inlineStr">
        <is>
          <t>2026-10-13</t>
        </is>
      </c>
      <c r="F125" s="8" t="inlineStr">
        <is>
          <t>groq/openai/gpt-oss-20b k=5 (f67f244)</t>
        </is>
      </c>
      <c r="G125" s="8" t="inlineStr">
        <is>
          <t>**Requisitos para emissão de certidão digital (Código de Normas CGJ‑CE)**  
| Requisito | Dispositivo legal | Observação |
|-----------|-------------------|------------|
| **Uso de formulário próprio, timbrado e oficial** | Art. 1127, § 1º, inciso I | A certidão deve ser lavrada em formulário próprio, timbrado e pertinente ao ato praticado, vedada a utilização de impressos não oficiais. |
| **Formato digital nativo** | Art. 1129 | Certidões de imóveis já objeto de matrícula eletrônica, após a “primeira qualificação eletrônica”, são expedidas em formato nativo‑digital estruturado, contendo a situação jurídica atual do imóvel (descrição, titularidade e ônus reais não cancelados). |
| **Assinatura eletrônica com certificado ICP‑Brasil** | Art. 1127, § 1º, Parágrafo único | Documentos assinados com certificado digital, realizados e/ou enviados pela Internet, devem atender aos requisitos da Infraestrutura de Chaves Públicas Brasileira (ICP‑Brasil). |
| **Carimbo de tempo (timestamp)** | Art. 140, § 3º | A escrituração dos livros em formato digital deve incluir carimbo de tempo, além de assinatura eletrônica com certificado ICP‑Brasil. |
| **Armazenamento e backup** | Art. 140, § 3º | O arquivo digital deve ser mantido na própria serventia e submetido à cópia de segurança (backup) regular. |
| **Indicação de finalidade e identificação do solicitante** | Art. 1128, § 3º e § 4º | Fichas físicas ou digitais contendo dados de identificação e indicação de finalidade devem ser formadas; o titular pode requisitar as informações. O oficial pode recusar o fornecimento se houver tentativa de tratamento de dados em desacordo com as finalidades do Registro de Imóveis e os princípios da LGPD. |
**Resumo**  
Para emitir uma certidão digital, o oficial deve:  
1. Utilizar formulário próprio, timbrado e oficial;  
2. Emitir a certidão em formato nativo‑digital estruturado (para imóveis já eletrônicos, após a primeira qualificação);  
3. Assinar eletronicamente com certificado ICP‑Brasil e incluir carimbo de tempo;  
4. Armazenar o arquivo na serventia e manter backup;  
5. Garantir que a ficha ou prontuário contenha identificação do solicitante e indicação de finalidade, respeitando a LGPD.</t>
        </is>
      </c>
      <c r="H125" s="8" t="inlineStr">
        <is>
          <t>Código de Normas CGJ-CE — Art. 1127:p229; Código de Normas CGJ-CE — Art. 1128:p229; Código de Normas CGJ-CE — Art. 1685:p345; Código de Normas CGJ-CE — Art. 1129:p229; Código de Normas CGJ-CE — Art. 140:p58</t>
        </is>
      </c>
      <c r="I125" s="8" t="n">
        <v>14.18</v>
      </c>
      <c r="J125" s="8" t="n">
        <v>1281</v>
      </c>
      <c r="K125" s="8" t="n">
        <v>1009</v>
      </c>
      <c r="L125" s="10">
        <f>IF(COUNT(J125:K125)=2,(J125*Parametros!$B$3+K125*Parametros!$B$4)/1000000*Parametros!$B$5,"")</f>
        <v/>
      </c>
      <c r="M125" s="8" t="n"/>
      <c r="N125" s="8" t="n"/>
      <c r="O125" s="8" t="n"/>
      <c r="P125" s="8" t="n"/>
      <c r="Q125" s="8" t="n"/>
      <c r="R125" s="9">
        <f>IF(COUNT(M125:Q125)=5,SUM(M125:Q125),"")</f>
        <v/>
      </c>
      <c r="S125" s="8" t="n"/>
      <c r="T125" s="8" t="n">
        <v>4</v>
      </c>
      <c r="U125" s="8" t="n">
        <v>4</v>
      </c>
      <c r="V125" s="11">
        <f>IF(AND(ISNUMBER(T125),T125&gt;0),U125/T125,"")</f>
        <v/>
      </c>
      <c r="W125" s="8" t="inlineStr"/>
    </row>
    <row r="126">
      <c r="A126" s="7" t="n">
        <v>25</v>
      </c>
      <c r="B126" s="7" t="inlineStr">
        <is>
          <t>RAG Fase 3</t>
        </is>
      </c>
      <c r="C126" s="9">
        <f>INDEX(Perguntas!$B$2:$B$26,MATCH(A126,Perguntas!$A$2:$A$26,0))</f>
        <v/>
      </c>
      <c r="D126" s="9">
        <f>INDEX(Perguntas!$C$2:$C$26,MATCH(A126,Perguntas!$A$2:$A$26,0))</f>
        <v/>
      </c>
      <c r="E126" s="8" t="inlineStr">
        <is>
          <t>2026-10-13</t>
        </is>
      </c>
      <c r="F126" s="8" t="inlineStr">
        <is>
          <t>groq/openai/gpt-oss-20b k=5 (f67f244)</t>
        </is>
      </c>
      <c r="G126" s="8" t="inlineStr">
        <is>
          <t>**Obrigação da serventia**
O envio indevido de uma certidão contendo dados pessoais exige que a serventia:
1. **Corrija imediatamente o erro** – remova a certidão do e‑mail errado e envie-a ao destinatário correto.  
   *Art. 103 do Provimento CNJ 149/2023* – “O responsável pela serventia extrajudicial efetuará, sempre que possível, a criptografia ou a pseudonimização de dados pessoais para o acesso a informações ou transferência dos dados para terceiros.”
2. **Implemente medidas de proteção** – caso a correção não seja imediata, a serventia deve criptografar ou pseudonimizar os dados antes de reenviá‑los, garantindo que a informação não seja acessível a terceiros não autorizados.  
   *Art. 103 do Provimento CNJ 149/2023* (mesma referência acima).
3. **Notifique o destinatário original** – informe ao e‑mail que recebeu a certidão por engano que o documento foi enviado erroneamente e que os dados não devem ser utilizados ou divulgados.  
   *Art. 178 do Código de Normas CGJ‑CE* – “Os responsáveis pelas serventias extrajudiciais deverão atender às disposições da Lei Geral de Proteção de Dados Pessoais (LGPD) … obedecendo a seus fundamentos, princípios e obrigações concernentes à governança do tratamento de dados pessoais.”
4. **Forneça transparência** – disponibilize, conforme Art. 97 do Provimento CNJ 149/2023, avisos de privacidade e proteção de dados, explicando o ocorrido e as medidas adotadas.  
   *Art. 97 do Provimento CNJ 149/2023* – “Deverão ser disponibilizadas pelos responsáveis pelas serventias informações adequadas a respeito dos procedimentos de tratamento de dados pessoais, nos termos do art. 9.º da LGPD, por meio de: I — aviso de privacidade e proteção de dados; …”
5. **Registre o incidente** – documente a ocorrência e as ações corretivas, para eventual auditoria ou verificação pelo corregedor permanente.  
   *Art. 105 do Provimento CNJ 149/2023* – “Na correição anual será verificada pelo corregedor permanente a adaptação de suas práticas de tratamento de dados pessoais à LGPD e a este Código de Normas.”
Em síntese, a serventia deve praticar a correção integral do ato, aplicando criptografia ou pseudonimização quando possível, notificando o destinatário original, garantindo transparência e registrando o incidente, em conformidade com os dispositivos citados.</t>
        </is>
      </c>
      <c r="H126" s="8" t="inlineStr">
        <is>
          <t>Provimento CNJ 149/2023 — Art. 103:p52; Provimento CNJ 149/2023 — Art. 105:p52; Provimento CNJ 149/2023 — Art. 100:p51; Código de Normas CGJ-CE — Art. 178:p65; Provimento CNJ 149/2023 — Art. 97:p50</t>
        </is>
      </c>
      <c r="I126" s="8" t="n">
        <v>18.64</v>
      </c>
      <c r="J126" s="8" t="n">
        <v>1276</v>
      </c>
      <c r="K126" s="8" t="n">
        <v>1363</v>
      </c>
      <c r="L126" s="10">
        <f>IF(COUNT(J126:K126)=2,(J126*Parametros!$B$3+K126*Parametros!$B$4)/1000000*Parametros!$B$5,"")</f>
        <v/>
      </c>
      <c r="M126" s="8" t="n"/>
      <c r="N126" s="8" t="n"/>
      <c r="O126" s="8" t="n"/>
      <c r="P126" s="8" t="n"/>
      <c r="Q126" s="8" t="n"/>
      <c r="R126" s="9">
        <f>IF(COUNT(M126:Q126)=5,SUM(M126:Q126),"")</f>
        <v/>
      </c>
      <c r="S126" s="8" t="n"/>
      <c r="T126" s="8" t="n">
        <v>5</v>
      </c>
      <c r="U126" s="8" t="n">
        <v>4</v>
      </c>
      <c r="V126" s="11">
        <f>IF(AND(ISNUMBER(T126),T126&gt;0),U126/T126,"")</f>
        <v/>
      </c>
      <c r="W126" s="8" t="inlineStr">
        <is>
          <t>Art. 9 (LGPD (Lei 13.709/2018)) → NAO_RECUPERADA [recuperado em: nenhum trecho recuperado]</t>
        </is>
      </c>
    </row>
  </sheetData>
  <autoFilter ref="A1:W126"/>
  <conditionalFormatting sqref="R2:R126">
    <cfRule type="cellIs" priority="1" operator="greaterThanOrEqual" dxfId="0">
      <formula>8</formula>
    </cfRule>
    <cfRule type="cellIs" priority="2" operator="lessThan" dxfId="1">
      <formula>6</formula>
    </cfRule>
  </conditionalFormatting>
  <dataValidations count="1">
    <dataValidation sqref="M2:Q126" showDropDown="0" showInputMessage="0" showErrorMessage="1" allowBlank="1" error="Use 0, 1 ou 2" type="list">
      <formula1>"0,1,2"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RowHeight="15"/>
  <cols>
    <col width="34" customWidth="1" min="1" max="1"/>
    <col width="22" customWidth="1" min="2" max="2"/>
    <col width="22" customWidth="1" min="3" max="3"/>
    <col width="60" customWidth="1" min="4" max="4"/>
  </cols>
  <sheetData>
    <row r="1">
      <c r="A1" s="6" t="inlineStr">
        <is>
          <t>Parâmetro</t>
        </is>
      </c>
      <c r="B1" s="6" t="inlineStr">
        <is>
          <t>Valor</t>
        </is>
      </c>
      <c r="C1" s="6" t="inlineStr"/>
      <c r="D1" s="6" t="inlineStr">
        <is>
          <t>Fonte / observação</t>
        </is>
      </c>
    </row>
    <row r="2">
      <c r="A2" s="3" t="inlineStr">
        <is>
          <t>Modelo do RAG</t>
        </is>
      </c>
      <c r="B2" s="8" t="inlineStr">
        <is>
          <t>Groq openai/gpt-oss-20b / 120b</t>
        </is>
      </c>
      <c r="D2" s="2" t="inlineStr">
        <is>
          <t>CHEAP/PREMIUM_MODEL do .env; o script registra o modelo real em 'Versão / plano'</t>
        </is>
      </c>
    </row>
    <row r="3">
      <c r="A3" s="3" t="inlineStr">
        <is>
          <t>Preço entrada (US$ / 1M tokens)</t>
        </is>
      </c>
      <c r="B3" s="8" t="n">
        <v>0.15</v>
      </c>
      <c r="D3" s="2" t="inlineStr">
        <is>
          <t>Premissa: preço do gpt-oss-120b na Groq (teto; o 20b é mais barato). Conferir em groq.com/pricing</t>
        </is>
      </c>
    </row>
    <row r="4">
      <c r="A4" s="3" t="inlineStr">
        <is>
          <t>Preço saída (US$ / 1M tokens)</t>
        </is>
      </c>
      <c r="B4" s="8" t="n">
        <v>0.6</v>
      </c>
      <c r="D4" s="2" t="inlineStr">
        <is>
          <t>Premissa: preço do gpt-oss-120b na Groq (teto; o 20b é mais barato). Conferir em groq.com/pricing</t>
        </is>
      </c>
    </row>
    <row r="5">
      <c r="A5" s="3" t="inlineStr">
        <is>
          <t>Câmbio (R$ / US$)</t>
        </is>
      </c>
      <c r="B5" s="8" t="n">
        <v>5.5</v>
      </c>
      <c r="D5" s="2" t="inlineStr">
        <is>
          <t>Premissa: atualizar com a cotação do dia da coleta</t>
        </is>
      </c>
    </row>
    <row r="8">
      <c r="A8" s="3" t="inlineStr">
        <is>
          <t>Custo dos concorrentes</t>
        </is>
      </c>
    </row>
    <row r="9">
      <c r="A9" s="6" t="inlineStr">
        <is>
          <t>Ferramenta</t>
        </is>
      </c>
      <c r="B9" s="6" t="inlineStr">
        <is>
          <t>Assinatura mensal (R$)</t>
        </is>
      </c>
      <c r="C9" s="6" t="inlineStr">
        <is>
          <t>Consultas / mês estimadas</t>
        </is>
      </c>
      <c r="D9" s="6" t="inlineStr">
        <is>
          <t>Custo por consulta (R$)</t>
        </is>
      </c>
    </row>
    <row r="10">
      <c r="A10" s="7" t="inlineStr">
        <is>
          <t>Jus IA</t>
        </is>
      </c>
      <c r="B10" s="8" t="n"/>
      <c r="C10" s="8" t="n"/>
      <c r="D10" s="12">
        <f>IF(AND(ISNUMBER(B10),ISNUMBER(C10),C10&gt;0),B10/C10,"")</f>
        <v/>
      </c>
    </row>
    <row r="11">
      <c r="A11" s="7" t="inlineStr">
        <is>
          <t>Jurídico AI</t>
        </is>
      </c>
      <c r="B11" s="8" t="n"/>
      <c r="C11" s="8" t="n"/>
      <c r="D11" s="12">
        <f>IF(AND(ISNUMBER(B11),ISNUMBER(C11),C11&gt;0),B11/C11,"")</f>
        <v/>
      </c>
    </row>
    <row r="12">
      <c r="A12" s="7" t="inlineStr">
        <is>
          <t>LLM genérico</t>
        </is>
      </c>
      <c r="B12" s="8" t="n"/>
      <c r="C12" s="8" t="n"/>
      <c r="D12" s="12">
        <f>IF(AND(ISNUMBER(B12),ISNUMBER(C12),C12&gt;0),B12/C12,"")</f>
        <v/>
      </c>
    </row>
    <row r="14">
      <c r="A14" s="2" t="inlineStr">
        <is>
          <t>O custo por consulta dos RAGs vem dos tokens medidos (aba Respostas).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26"/>
  <sheetViews>
    <sheetView workbookViewId="0">
      <selection activeCell="A1" sqref="A1"/>
    </sheetView>
  </sheetViews>
  <sheetFormatPr baseColWidth="8" defaultRowHeight="15"/>
  <cols>
    <col width="1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c r="A1" s="1" t="inlineStr">
        <is>
          <t>Resumo do benchmark</t>
        </is>
      </c>
    </row>
    <row r="3" ht="30" customHeight="1">
      <c r="A3" s="6" t="inlineStr">
        <is>
          <t>Ferramenta</t>
        </is>
      </c>
      <c r="B3" s="6" t="inlineStr">
        <is>
          <t>Avaliadas</t>
        </is>
      </c>
      <c r="C3" s="6" t="inlineStr">
        <is>
          <t>Nota média (0-10)</t>
        </is>
      </c>
      <c r="D3" s="6" t="inlineStr">
        <is>
          <t>Veredito</t>
        </is>
      </c>
      <c r="E3" s="6" t="inlineStr">
        <is>
          <t>Fundamentação</t>
        </is>
      </c>
      <c r="F3" s="6" t="inlineStr">
        <is>
          <t>Norma CE</t>
        </is>
      </c>
      <c r="G3" s="6" t="inlineStr">
        <is>
          <t>Acionável</t>
        </is>
      </c>
      <c r="H3" s="6" t="inlineStr">
        <is>
          <t>Sem alucinação</t>
        </is>
      </c>
      <c r="I3" s="6" t="inlineStr">
        <is>
          <t>% notas ≥ 8</t>
        </is>
      </c>
      <c r="J3" s="6" t="inlineStr">
        <is>
          <t>Latência média (s)</t>
        </is>
      </c>
      <c r="K3" s="6" t="inlineStr">
        <is>
          <t>Custo / consulta (R$)</t>
        </is>
      </c>
      <c r="L3" s="6" t="inlineStr">
        <is>
          <t>Taxa verificável (citações)</t>
        </is>
      </c>
    </row>
    <row r="4">
      <c r="A4" s="7" t="inlineStr">
        <is>
          <t>Jus IA</t>
        </is>
      </c>
      <c r="B4" s="9">
        <f>COUNTIFS(Respostas!$B$2:$B$126,$A4,Respostas!$R$2:$R$126,"&gt;=0")</f>
        <v/>
      </c>
      <c r="C4" s="12">
        <f>IF(B4=0,"",AVERAGEIFS(Respostas!$R$2:$R$126,Respostas!$B$2:$B$126,$A4))</f>
        <v/>
      </c>
      <c r="D4" s="12">
        <f>IF(B4=0,"",AVERAGEIFS(Respostas!$M$2:$M$126,Respostas!$B$2:$B$126,$A4,Respostas!$R$2:$R$126,"&gt;=0"))</f>
        <v/>
      </c>
      <c r="E4" s="12">
        <f>IF(B4=0,"",AVERAGEIFS(Respostas!$N$2:$N$126,Respostas!$B$2:$B$126,$A4,Respostas!$R$2:$R$126,"&gt;=0"))</f>
        <v/>
      </c>
      <c r="F4" s="12">
        <f>IF(B4=0,"",AVERAGEIFS(Respostas!$O$2:$O$126,Respostas!$B$2:$B$126,$A4,Respostas!$R$2:$R$126,"&gt;=0"))</f>
        <v/>
      </c>
      <c r="G4" s="12">
        <f>IF(B4=0,"",AVERAGEIFS(Respostas!$P$2:$P$126,Respostas!$B$2:$B$126,$A4,Respostas!$R$2:$R$126,"&gt;=0"))</f>
        <v/>
      </c>
      <c r="H4" s="12">
        <f>IF(B4=0,"",AVERAGEIFS(Respostas!$Q$2:$Q$126,Respostas!$B$2:$B$126,$A4,Respostas!$R$2:$R$126,"&gt;=0"))</f>
        <v/>
      </c>
      <c r="I4" s="11">
        <f>IF(B4=0,"",COUNTIFS(Respostas!$B$2:$B$126,$A4,Respostas!$R$2:$R$126,"&gt;=8")/B4)</f>
        <v/>
      </c>
      <c r="J4" s="12">
        <f>IF(COUNTIFS(Respostas!$B$2:$B$126,$A4,Respostas!$I$2:$I$126,"&gt;=0")=0,"",AVERAGEIFS(Respostas!$I$2:$I$126,Respostas!$B$2:$B$126,$A4))</f>
        <v/>
      </c>
      <c r="K4" s="10">
        <f>IF(ISNUMBER(Parametros!$D$10),Parametros!$D$10,"")</f>
        <v/>
      </c>
      <c r="L4" s="11">
        <f>IF(SUMIFS(Respostas!$T$2:$T$126,Respostas!$B$2:$B$126,$A4)=0,"",SUMIFS(Respostas!$U$2:$U$126,Respostas!$B$2:$B$126,$A4)/SUMIFS(Respostas!$T$2:$T$126,Respostas!$B$2:$B$126,$A4))</f>
        <v/>
      </c>
    </row>
    <row r="5">
      <c r="A5" s="7" t="inlineStr">
        <is>
          <t>Jurídico AI</t>
        </is>
      </c>
      <c r="B5" s="9">
        <f>COUNTIFS(Respostas!$B$2:$B$126,$A5,Respostas!$R$2:$R$126,"&gt;=0")</f>
        <v/>
      </c>
      <c r="C5" s="12">
        <f>IF(B5=0,"",AVERAGEIFS(Respostas!$R$2:$R$126,Respostas!$B$2:$B$126,$A5))</f>
        <v/>
      </c>
      <c r="D5" s="12">
        <f>IF(B5=0,"",AVERAGEIFS(Respostas!$M$2:$M$126,Respostas!$B$2:$B$126,$A5,Respostas!$R$2:$R$126,"&gt;=0"))</f>
        <v/>
      </c>
      <c r="E5" s="12">
        <f>IF(B5=0,"",AVERAGEIFS(Respostas!$N$2:$N$126,Respostas!$B$2:$B$126,$A5,Respostas!$R$2:$R$126,"&gt;=0"))</f>
        <v/>
      </c>
      <c r="F5" s="12">
        <f>IF(B5=0,"",AVERAGEIFS(Respostas!$O$2:$O$126,Respostas!$B$2:$B$126,$A5,Respostas!$R$2:$R$126,"&gt;=0"))</f>
        <v/>
      </c>
      <c r="G5" s="12">
        <f>IF(B5=0,"",AVERAGEIFS(Respostas!$P$2:$P$126,Respostas!$B$2:$B$126,$A5,Respostas!$R$2:$R$126,"&gt;=0"))</f>
        <v/>
      </c>
      <c r="H5" s="12">
        <f>IF(B5=0,"",AVERAGEIFS(Respostas!$Q$2:$Q$126,Respostas!$B$2:$B$126,$A5,Respostas!$R$2:$R$126,"&gt;=0"))</f>
        <v/>
      </c>
      <c r="I5" s="11">
        <f>IF(B5=0,"",COUNTIFS(Respostas!$B$2:$B$126,$A5,Respostas!$R$2:$R$126,"&gt;=8")/B5)</f>
        <v/>
      </c>
      <c r="J5" s="12">
        <f>IF(COUNTIFS(Respostas!$B$2:$B$126,$A5,Respostas!$I$2:$I$126,"&gt;=0")=0,"",AVERAGEIFS(Respostas!$I$2:$I$126,Respostas!$B$2:$B$126,$A5))</f>
        <v/>
      </c>
      <c r="K5" s="10">
        <f>IF(ISNUMBER(Parametros!$D$11),Parametros!$D$11,"")</f>
        <v/>
      </c>
      <c r="L5" s="11">
        <f>IF(SUMIFS(Respostas!$T$2:$T$126,Respostas!$B$2:$B$126,$A5)=0,"",SUMIFS(Respostas!$U$2:$U$126,Respostas!$B$2:$B$126,$A5)/SUMIFS(Respostas!$T$2:$T$126,Respostas!$B$2:$B$126,$A5))</f>
        <v/>
      </c>
    </row>
    <row r="6">
      <c r="A6" s="7" t="inlineStr">
        <is>
          <t>LLM genérico</t>
        </is>
      </c>
      <c r="B6" s="9">
        <f>COUNTIFS(Respostas!$B$2:$B$126,$A6,Respostas!$R$2:$R$126,"&gt;=0")</f>
        <v/>
      </c>
      <c r="C6" s="12">
        <f>IF(B6=0,"",AVERAGEIFS(Respostas!$R$2:$R$126,Respostas!$B$2:$B$126,$A6))</f>
        <v/>
      </c>
      <c r="D6" s="12">
        <f>IF(B6=0,"",AVERAGEIFS(Respostas!$M$2:$M$126,Respostas!$B$2:$B$126,$A6,Respostas!$R$2:$R$126,"&gt;=0"))</f>
        <v/>
      </c>
      <c r="E6" s="12">
        <f>IF(B6=0,"",AVERAGEIFS(Respostas!$N$2:$N$126,Respostas!$B$2:$B$126,$A6,Respostas!$R$2:$R$126,"&gt;=0"))</f>
        <v/>
      </c>
      <c r="F6" s="12">
        <f>IF(B6=0,"",AVERAGEIFS(Respostas!$O$2:$O$126,Respostas!$B$2:$B$126,$A6,Respostas!$R$2:$R$126,"&gt;=0"))</f>
        <v/>
      </c>
      <c r="G6" s="12">
        <f>IF(B6=0,"",AVERAGEIFS(Respostas!$P$2:$P$126,Respostas!$B$2:$B$126,$A6,Respostas!$R$2:$R$126,"&gt;=0"))</f>
        <v/>
      </c>
      <c r="H6" s="12">
        <f>IF(B6=0,"",AVERAGEIFS(Respostas!$Q$2:$Q$126,Respostas!$B$2:$B$126,$A6,Respostas!$R$2:$R$126,"&gt;=0"))</f>
        <v/>
      </c>
      <c r="I6" s="11">
        <f>IF(B6=0,"",COUNTIFS(Respostas!$B$2:$B$126,$A6,Respostas!$R$2:$R$126,"&gt;=8")/B6)</f>
        <v/>
      </c>
      <c r="J6" s="12">
        <f>IF(COUNTIFS(Respostas!$B$2:$B$126,$A6,Respostas!$I$2:$I$126,"&gt;=0")=0,"",AVERAGEIFS(Respostas!$I$2:$I$126,Respostas!$B$2:$B$126,$A6))</f>
        <v/>
      </c>
      <c r="K6" s="10">
        <f>IF(ISNUMBER(Parametros!$D$12),Parametros!$D$12,"")</f>
        <v/>
      </c>
      <c r="L6" s="11">
        <f>IF(SUMIFS(Respostas!$T$2:$T$126,Respostas!$B$2:$B$126,$A6)=0,"",SUMIFS(Respostas!$U$2:$U$126,Respostas!$B$2:$B$126,$A6)/SUMIFS(Respostas!$T$2:$T$126,Respostas!$B$2:$B$126,$A6))</f>
        <v/>
      </c>
    </row>
    <row r="7">
      <c r="A7" s="7" t="inlineStr">
        <is>
          <t>RAG atual</t>
        </is>
      </c>
      <c r="B7" s="9">
        <f>COUNTIFS(Respostas!$B$2:$B$126,$A7,Respostas!$R$2:$R$126,"&gt;=0")</f>
        <v/>
      </c>
      <c r="C7" s="12">
        <f>IF(B7=0,"",AVERAGEIFS(Respostas!$R$2:$R$126,Respostas!$B$2:$B$126,$A7))</f>
        <v/>
      </c>
      <c r="D7" s="12">
        <f>IF(B7=0,"",AVERAGEIFS(Respostas!$M$2:$M$126,Respostas!$B$2:$B$126,$A7,Respostas!$R$2:$R$126,"&gt;=0"))</f>
        <v/>
      </c>
      <c r="E7" s="12">
        <f>IF(B7=0,"",AVERAGEIFS(Respostas!$N$2:$N$126,Respostas!$B$2:$B$126,$A7,Respostas!$R$2:$R$126,"&gt;=0"))</f>
        <v/>
      </c>
      <c r="F7" s="12">
        <f>IF(B7=0,"",AVERAGEIFS(Respostas!$O$2:$O$126,Respostas!$B$2:$B$126,$A7,Respostas!$R$2:$R$126,"&gt;=0"))</f>
        <v/>
      </c>
      <c r="G7" s="12">
        <f>IF(B7=0,"",AVERAGEIFS(Respostas!$P$2:$P$126,Respostas!$B$2:$B$126,$A7,Respostas!$R$2:$R$126,"&gt;=0"))</f>
        <v/>
      </c>
      <c r="H7" s="12">
        <f>IF(B7=0,"",AVERAGEIFS(Respostas!$Q$2:$Q$126,Respostas!$B$2:$B$126,$A7,Respostas!$R$2:$R$126,"&gt;=0"))</f>
        <v/>
      </c>
      <c r="I7" s="11">
        <f>IF(B7=0,"",COUNTIFS(Respostas!$B$2:$B$126,$A7,Respostas!$R$2:$R$126,"&gt;=8")/B7)</f>
        <v/>
      </c>
      <c r="J7" s="12">
        <f>IF(COUNTIFS(Respostas!$B$2:$B$126,$A7,Respostas!$I$2:$I$126,"&gt;=0")=0,"",AVERAGEIFS(Respostas!$I$2:$I$126,Respostas!$B$2:$B$126,$A7))</f>
        <v/>
      </c>
      <c r="K7" s="10">
        <f>IF(COUNTIFS(Respostas!$B$2:$B$126,$A7,Respostas!$L$2:$L$126,"&gt;=0")=0,"",AVERAGEIFS(Respostas!$L$2:$L$126,Respostas!$B$2:$B$126,$A7))</f>
        <v/>
      </c>
      <c r="L7" s="11">
        <f>IF(SUMIFS(Respostas!$T$2:$T$126,Respostas!$B$2:$B$126,$A7)=0,"",SUMIFS(Respostas!$U$2:$U$126,Respostas!$B$2:$B$126,$A7)/SUMIFS(Respostas!$T$2:$T$126,Respostas!$B$2:$B$126,$A7))</f>
        <v/>
      </c>
    </row>
    <row r="8">
      <c r="A8" s="7" t="inlineStr">
        <is>
          <t>RAG Fase 3</t>
        </is>
      </c>
      <c r="B8" s="9">
        <f>COUNTIFS(Respostas!$B$2:$B$126,$A8,Respostas!$R$2:$R$126,"&gt;=0")</f>
        <v/>
      </c>
      <c r="C8" s="12">
        <f>IF(B8=0,"",AVERAGEIFS(Respostas!$R$2:$R$126,Respostas!$B$2:$B$126,$A8))</f>
        <v/>
      </c>
      <c r="D8" s="12">
        <f>IF(B8=0,"",AVERAGEIFS(Respostas!$M$2:$M$126,Respostas!$B$2:$B$126,$A8,Respostas!$R$2:$R$126,"&gt;=0"))</f>
        <v/>
      </c>
      <c r="E8" s="12">
        <f>IF(B8=0,"",AVERAGEIFS(Respostas!$N$2:$N$126,Respostas!$B$2:$B$126,$A8,Respostas!$R$2:$R$126,"&gt;=0"))</f>
        <v/>
      </c>
      <c r="F8" s="12">
        <f>IF(B8=0,"",AVERAGEIFS(Respostas!$O$2:$O$126,Respostas!$B$2:$B$126,$A8,Respostas!$R$2:$R$126,"&gt;=0"))</f>
        <v/>
      </c>
      <c r="G8" s="12">
        <f>IF(B8=0,"",AVERAGEIFS(Respostas!$P$2:$P$126,Respostas!$B$2:$B$126,$A8,Respostas!$R$2:$R$126,"&gt;=0"))</f>
        <v/>
      </c>
      <c r="H8" s="12">
        <f>IF(B8=0,"",AVERAGEIFS(Respostas!$Q$2:$Q$126,Respostas!$B$2:$B$126,$A8,Respostas!$R$2:$R$126,"&gt;=0"))</f>
        <v/>
      </c>
      <c r="I8" s="11">
        <f>IF(B8=0,"",COUNTIFS(Respostas!$B$2:$B$126,$A8,Respostas!$R$2:$R$126,"&gt;=8")/B8)</f>
        <v/>
      </c>
      <c r="J8" s="12">
        <f>IF(COUNTIFS(Respostas!$B$2:$B$126,$A8,Respostas!$I$2:$I$126,"&gt;=0")=0,"",AVERAGEIFS(Respostas!$I$2:$I$126,Respostas!$B$2:$B$126,$A8))</f>
        <v/>
      </c>
      <c r="K8" s="10">
        <f>IF(COUNTIFS(Respostas!$B$2:$B$126,$A8,Respostas!$L$2:$L$126,"&gt;=0")=0,"",AVERAGEIFS(Respostas!$L$2:$L$126,Respostas!$B$2:$B$126,$A8))</f>
        <v/>
      </c>
      <c r="L8" s="11">
        <f>IF(SUMIFS(Respostas!$T$2:$T$126,Respostas!$B$2:$B$126,$A8)=0,"",SUMIFS(Respostas!$U$2:$U$126,Respostas!$B$2:$B$126,$A8)/SUMIFS(Respostas!$T$2:$T$126,Respostas!$B$2:$B$126,$A8))</f>
        <v/>
      </c>
    </row>
    <row r="10">
      <c r="A10" s="3" t="inlineStr">
        <is>
          <t>Gate 1: sinal do benchmark</t>
        </is>
      </c>
    </row>
    <row r="11">
      <c r="A11" s="2" t="inlineStr">
        <is>
          <t>Melhor concorrente</t>
        </is>
      </c>
      <c r="B11" s="12">
        <f>IF(COUNT(C4,C5,C6)=0,"",MAX(C4,C5,C6))</f>
        <v/>
      </c>
    </row>
    <row r="12">
      <c r="A12" s="2" t="inlineStr">
        <is>
          <t>Sinal</t>
        </is>
      </c>
      <c r="B12" s="9">
        <f>IF(B11="","Aguardando coleta",IF(B11&gt;=8,"Concorrentes fortes: só seguir se as entrevistas mostrarem dor mensurável",IF(B11&lt;6,"Gap confirmado: seguir com H1 + H3","Zona cinza: focar em H3 + H4 (fluxo + custo)")))</f>
        <v/>
      </c>
      <c r="C12" s="13" t="n"/>
      <c r="D12" s="13" t="n"/>
      <c r="E12" s="13" t="n"/>
      <c r="F12" s="13" t="n"/>
      <c r="G12" s="13" t="n"/>
      <c r="H12" s="14" t="n"/>
    </row>
    <row r="13">
      <c r="A13" s="2" t="inlineStr">
        <is>
          <t>Regras em docs/fase3/03_plano_validacao.md. O Gate combina este sinal com as entrevistas.</t>
        </is>
      </c>
    </row>
    <row r="15">
      <c r="A15" s="3" t="inlineStr">
        <is>
          <t>Nota média por categoria</t>
        </is>
      </c>
    </row>
    <row r="16">
      <c r="A16" s="6" t="inlineStr">
        <is>
          <t>Categoria</t>
        </is>
      </c>
      <c r="B16" s="6" t="inlineStr">
        <is>
          <t>Jus IA</t>
        </is>
      </c>
      <c r="C16" s="6" t="inlineStr">
        <is>
          <t>Jurídico AI</t>
        </is>
      </c>
      <c r="D16" s="6" t="inlineStr">
        <is>
          <t>LLM genérico</t>
        </is>
      </c>
      <c r="E16" s="6" t="inlineStr">
        <is>
          <t>RAG atual</t>
        </is>
      </c>
      <c r="F16" s="6" t="inlineStr">
        <is>
          <t>RAG Fase 3</t>
        </is>
      </c>
    </row>
    <row r="17">
      <c r="A17" s="7" t="inlineStr">
        <is>
          <t>Certidão</t>
        </is>
      </c>
      <c r="B17" s="15">
        <f>IF(COUNTIFS(Respostas!$B$2:$B$126,B$16,Respostas!$C$2:$C$126,$A17,Respostas!$R$2:$R$126,"&gt;=0")=0,"",AVERAGEIFS(Respostas!$R$2:$R$126,Respostas!$B$2:$B$126,B$16,Respostas!$C$2:$C$126,$A17))</f>
        <v/>
      </c>
      <c r="C17" s="15">
        <f>IF(COUNTIFS(Respostas!$B$2:$B$126,C$16,Respostas!$C$2:$C$126,$A17,Respostas!$R$2:$R$126,"&gt;=0")=0,"",AVERAGEIFS(Respostas!$R$2:$R$126,Respostas!$B$2:$B$126,C$16,Respostas!$C$2:$C$126,$A17))</f>
        <v/>
      </c>
      <c r="D17" s="15">
        <f>IF(COUNTIFS(Respostas!$B$2:$B$126,D$16,Respostas!$C$2:$C$126,$A17,Respostas!$R$2:$R$126,"&gt;=0")=0,"",AVERAGEIFS(Respostas!$R$2:$R$126,Respostas!$B$2:$B$126,D$16,Respostas!$C$2:$C$126,$A17))</f>
        <v/>
      </c>
      <c r="E17" s="15">
        <f>IF(COUNTIFS(Respostas!$B$2:$B$126,E$16,Respostas!$C$2:$C$126,$A17,Respostas!$R$2:$R$126,"&gt;=0")=0,"",AVERAGEIFS(Respostas!$R$2:$R$126,Respostas!$B$2:$B$126,E$16,Respostas!$C$2:$C$126,$A17))</f>
        <v/>
      </c>
      <c r="F17" s="15">
        <f>IF(COUNTIFS(Respostas!$B$2:$B$126,F$16,Respostas!$C$2:$C$126,$A17,Respostas!$R$2:$R$126,"&gt;=0")=0,"",AVERAGEIFS(Respostas!$R$2:$R$126,Respostas!$B$2:$B$126,F$16,Respostas!$C$2:$C$126,$A17))</f>
        <v/>
      </c>
    </row>
    <row r="18">
      <c r="A18" s="7" t="inlineStr">
        <is>
          <t>Busca</t>
        </is>
      </c>
      <c r="B18" s="15">
        <f>IF(COUNTIFS(Respostas!$B$2:$B$126,B$16,Respostas!$C$2:$C$126,$A18,Respostas!$R$2:$R$126,"&gt;=0")=0,"",AVERAGEIFS(Respostas!$R$2:$R$126,Respostas!$B$2:$B$126,B$16,Respostas!$C$2:$C$126,$A18))</f>
        <v/>
      </c>
      <c r="C18" s="15">
        <f>IF(COUNTIFS(Respostas!$B$2:$B$126,C$16,Respostas!$C$2:$C$126,$A18,Respostas!$R$2:$R$126,"&gt;=0")=0,"",AVERAGEIFS(Respostas!$R$2:$R$126,Respostas!$B$2:$B$126,C$16,Respostas!$C$2:$C$126,$A18))</f>
        <v/>
      </c>
      <c r="D18" s="15">
        <f>IF(COUNTIFS(Respostas!$B$2:$B$126,D$16,Respostas!$C$2:$C$126,$A18,Respostas!$R$2:$R$126,"&gt;=0")=0,"",AVERAGEIFS(Respostas!$R$2:$R$126,Respostas!$B$2:$B$126,D$16,Respostas!$C$2:$C$126,$A18))</f>
        <v/>
      </c>
      <c r="E18" s="15">
        <f>IF(COUNTIFS(Respostas!$B$2:$B$126,E$16,Respostas!$C$2:$C$126,$A18,Respostas!$R$2:$R$126,"&gt;=0")=0,"",AVERAGEIFS(Respostas!$R$2:$R$126,Respostas!$B$2:$B$126,E$16,Respostas!$C$2:$C$126,$A18))</f>
        <v/>
      </c>
      <c r="F18" s="15">
        <f>IF(COUNTIFS(Respostas!$B$2:$B$126,F$16,Respostas!$C$2:$C$126,$A18,Respostas!$R$2:$R$126,"&gt;=0")=0,"",AVERAGEIFS(Respostas!$R$2:$R$126,Respostas!$B$2:$B$126,F$16,Respostas!$C$2:$C$126,$A18))</f>
        <v/>
      </c>
    </row>
    <row r="19">
      <c r="A19" s="7" t="inlineStr">
        <is>
          <t>Informação verbal</t>
        </is>
      </c>
      <c r="B19" s="15">
        <f>IF(COUNTIFS(Respostas!$B$2:$B$126,B$16,Respostas!$C$2:$C$126,$A19,Respostas!$R$2:$R$126,"&gt;=0")=0,"",AVERAGEIFS(Respostas!$R$2:$R$126,Respostas!$B$2:$B$126,B$16,Respostas!$C$2:$C$126,$A19))</f>
        <v/>
      </c>
      <c r="C19" s="15">
        <f>IF(COUNTIFS(Respostas!$B$2:$B$126,C$16,Respostas!$C$2:$C$126,$A19,Respostas!$R$2:$R$126,"&gt;=0")=0,"",AVERAGEIFS(Respostas!$R$2:$R$126,Respostas!$B$2:$B$126,C$16,Respostas!$C$2:$C$126,$A19))</f>
        <v/>
      </c>
      <c r="D19" s="15">
        <f>IF(COUNTIFS(Respostas!$B$2:$B$126,D$16,Respostas!$C$2:$C$126,$A19,Respostas!$R$2:$R$126,"&gt;=0")=0,"",AVERAGEIFS(Respostas!$R$2:$R$126,Respostas!$B$2:$B$126,D$16,Respostas!$C$2:$C$126,$A19))</f>
        <v/>
      </c>
      <c r="E19" s="15">
        <f>IF(COUNTIFS(Respostas!$B$2:$B$126,E$16,Respostas!$C$2:$C$126,$A19,Respostas!$R$2:$R$126,"&gt;=0")=0,"",AVERAGEIFS(Respostas!$R$2:$R$126,Respostas!$B$2:$B$126,E$16,Respostas!$C$2:$C$126,$A19))</f>
        <v/>
      </c>
      <c r="F19" s="15">
        <f>IF(COUNTIFS(Respostas!$B$2:$B$126,F$16,Respostas!$C$2:$C$126,$A19,Respostas!$R$2:$R$126,"&gt;=0")=0,"",AVERAGEIFS(Respostas!$R$2:$R$126,Respostas!$B$2:$B$126,F$16,Respostas!$C$2:$C$126,$A19))</f>
        <v/>
      </c>
    </row>
    <row r="20">
      <c r="A20" s="7" t="inlineStr">
        <is>
          <t>Poder público</t>
        </is>
      </c>
      <c r="B20" s="15">
        <f>IF(COUNTIFS(Respostas!$B$2:$B$126,B$16,Respostas!$C$2:$C$126,$A20,Respostas!$R$2:$R$126,"&gt;=0")=0,"",AVERAGEIFS(Respostas!$R$2:$R$126,Respostas!$B$2:$B$126,B$16,Respostas!$C$2:$C$126,$A20))</f>
        <v/>
      </c>
      <c r="C20" s="15">
        <f>IF(COUNTIFS(Respostas!$B$2:$B$126,C$16,Respostas!$C$2:$C$126,$A20,Respostas!$R$2:$R$126,"&gt;=0")=0,"",AVERAGEIFS(Respostas!$R$2:$R$126,Respostas!$B$2:$B$126,C$16,Respostas!$C$2:$C$126,$A20))</f>
        <v/>
      </c>
      <c r="D20" s="15">
        <f>IF(COUNTIFS(Respostas!$B$2:$B$126,D$16,Respostas!$C$2:$C$126,$A20,Respostas!$R$2:$R$126,"&gt;=0")=0,"",AVERAGEIFS(Respostas!$R$2:$R$126,Respostas!$B$2:$B$126,D$16,Respostas!$C$2:$C$126,$A20))</f>
        <v/>
      </c>
      <c r="E20" s="15">
        <f>IF(COUNTIFS(Respostas!$B$2:$B$126,E$16,Respostas!$C$2:$C$126,$A20,Respostas!$R$2:$R$126,"&gt;=0")=0,"",AVERAGEIFS(Respostas!$R$2:$R$126,Respostas!$B$2:$B$126,E$16,Respostas!$C$2:$C$126,$A20))</f>
        <v/>
      </c>
      <c r="F20" s="15">
        <f>IF(COUNTIFS(Respostas!$B$2:$B$126,F$16,Respostas!$C$2:$C$126,$A20,Respostas!$R$2:$R$126,"&gt;=0")=0,"",AVERAGEIFS(Respostas!$R$2:$R$126,Respostas!$B$2:$B$126,F$16,Respostas!$C$2:$C$126,$A20))</f>
        <v/>
      </c>
    </row>
    <row r="21">
      <c r="A21" s="7" t="inlineStr">
        <is>
          <t>Transparência</t>
        </is>
      </c>
      <c r="B21" s="15">
        <f>IF(COUNTIFS(Respostas!$B$2:$B$126,B$16,Respostas!$C$2:$C$126,$A21,Respostas!$R$2:$R$126,"&gt;=0")=0,"",AVERAGEIFS(Respostas!$R$2:$R$126,Respostas!$B$2:$B$126,B$16,Respostas!$C$2:$C$126,$A21))</f>
        <v/>
      </c>
      <c r="C21" s="15">
        <f>IF(COUNTIFS(Respostas!$B$2:$B$126,C$16,Respostas!$C$2:$C$126,$A21,Respostas!$R$2:$R$126,"&gt;=0")=0,"",AVERAGEIFS(Respostas!$R$2:$R$126,Respostas!$B$2:$B$126,C$16,Respostas!$C$2:$C$126,$A21))</f>
        <v/>
      </c>
      <c r="D21" s="15">
        <f>IF(COUNTIFS(Respostas!$B$2:$B$126,D$16,Respostas!$C$2:$C$126,$A21,Respostas!$R$2:$R$126,"&gt;=0")=0,"",AVERAGEIFS(Respostas!$R$2:$R$126,Respostas!$B$2:$B$126,D$16,Respostas!$C$2:$C$126,$A21))</f>
        <v/>
      </c>
      <c r="E21" s="15">
        <f>IF(COUNTIFS(Respostas!$B$2:$B$126,E$16,Respostas!$C$2:$C$126,$A21,Respostas!$R$2:$R$126,"&gt;=0")=0,"",AVERAGEIFS(Respostas!$R$2:$R$126,Respostas!$B$2:$B$126,E$16,Respostas!$C$2:$C$126,$A21))</f>
        <v/>
      </c>
      <c r="F21" s="15">
        <f>IF(COUNTIFS(Respostas!$B$2:$B$126,F$16,Respostas!$C$2:$C$126,$A21,Respostas!$R$2:$R$126,"&gt;=0")=0,"",AVERAGEIFS(Respostas!$R$2:$R$126,Respostas!$B$2:$B$126,F$16,Respostas!$C$2:$C$126,$A21))</f>
        <v/>
      </c>
    </row>
    <row r="22">
      <c r="A22" s="7" t="inlineStr">
        <is>
          <t>Dado sensível</t>
        </is>
      </c>
      <c r="B22" s="15">
        <f>IF(COUNTIFS(Respostas!$B$2:$B$126,B$16,Respostas!$C$2:$C$126,$A22,Respostas!$R$2:$R$126,"&gt;=0")=0,"",AVERAGEIFS(Respostas!$R$2:$R$126,Respostas!$B$2:$B$126,B$16,Respostas!$C$2:$C$126,$A22))</f>
        <v/>
      </c>
      <c r="C22" s="15">
        <f>IF(COUNTIFS(Respostas!$B$2:$B$126,C$16,Respostas!$C$2:$C$126,$A22,Respostas!$R$2:$R$126,"&gt;=0")=0,"",AVERAGEIFS(Respostas!$R$2:$R$126,Respostas!$B$2:$B$126,C$16,Respostas!$C$2:$C$126,$A22))</f>
        <v/>
      </c>
      <c r="D22" s="15">
        <f>IF(COUNTIFS(Respostas!$B$2:$B$126,D$16,Respostas!$C$2:$C$126,$A22,Respostas!$R$2:$R$126,"&gt;=0")=0,"",AVERAGEIFS(Respostas!$R$2:$R$126,Respostas!$B$2:$B$126,D$16,Respostas!$C$2:$C$126,$A22))</f>
        <v/>
      </c>
      <c r="E22" s="15">
        <f>IF(COUNTIFS(Respostas!$B$2:$B$126,E$16,Respostas!$C$2:$C$126,$A22,Respostas!$R$2:$R$126,"&gt;=0")=0,"",AVERAGEIFS(Respostas!$R$2:$R$126,Respostas!$B$2:$B$126,E$16,Respostas!$C$2:$C$126,$A22))</f>
        <v/>
      </c>
      <c r="F22" s="15">
        <f>IF(COUNTIFS(Respostas!$B$2:$B$126,F$16,Respostas!$C$2:$C$126,$A22,Respostas!$R$2:$R$126,"&gt;=0")=0,"",AVERAGEIFS(Respostas!$R$2:$R$126,Respostas!$B$2:$B$126,F$16,Respostas!$C$2:$C$126,$A22))</f>
        <v/>
      </c>
    </row>
    <row r="23">
      <c r="A23" s="7" t="inlineStr">
        <is>
          <t>Tratamento</t>
        </is>
      </c>
      <c r="B23" s="15">
        <f>IF(COUNTIFS(Respostas!$B$2:$B$126,B$16,Respostas!$C$2:$C$126,$A23,Respostas!$R$2:$R$126,"&gt;=0")=0,"",AVERAGEIFS(Respostas!$R$2:$R$126,Respostas!$B$2:$B$126,B$16,Respostas!$C$2:$C$126,$A23))</f>
        <v/>
      </c>
      <c r="C23" s="15">
        <f>IF(COUNTIFS(Respostas!$B$2:$B$126,C$16,Respostas!$C$2:$C$126,$A23,Respostas!$R$2:$R$126,"&gt;=0")=0,"",AVERAGEIFS(Respostas!$R$2:$R$126,Respostas!$B$2:$B$126,C$16,Respostas!$C$2:$C$126,$A23))</f>
        <v/>
      </c>
      <c r="D23" s="15">
        <f>IF(COUNTIFS(Respostas!$B$2:$B$126,D$16,Respostas!$C$2:$C$126,$A23,Respostas!$R$2:$R$126,"&gt;=0")=0,"",AVERAGEIFS(Respostas!$R$2:$R$126,Respostas!$B$2:$B$126,D$16,Respostas!$C$2:$C$126,$A23))</f>
        <v/>
      </c>
      <c r="E23" s="15">
        <f>IF(COUNTIFS(Respostas!$B$2:$B$126,E$16,Respostas!$C$2:$C$126,$A23,Respostas!$R$2:$R$126,"&gt;=0")=0,"",AVERAGEIFS(Respostas!$R$2:$R$126,Respostas!$B$2:$B$126,E$16,Respostas!$C$2:$C$126,$A23))</f>
        <v/>
      </c>
      <c r="F23" s="15">
        <f>IF(COUNTIFS(Respostas!$B$2:$B$126,F$16,Respostas!$C$2:$C$126,$A23,Respostas!$R$2:$R$126,"&gt;=0")=0,"",AVERAGEIFS(Respostas!$R$2:$R$126,Respostas!$B$2:$B$126,F$16,Respostas!$C$2:$C$126,$A23))</f>
        <v/>
      </c>
    </row>
    <row r="24">
      <c r="A24" s="7" t="inlineStr">
        <is>
          <t>Compartilhamento</t>
        </is>
      </c>
      <c r="B24" s="15">
        <f>IF(COUNTIFS(Respostas!$B$2:$B$126,B$16,Respostas!$C$2:$C$126,$A24,Respostas!$R$2:$R$126,"&gt;=0")=0,"",AVERAGEIFS(Respostas!$R$2:$R$126,Respostas!$B$2:$B$126,B$16,Respostas!$C$2:$C$126,$A24))</f>
        <v/>
      </c>
      <c r="C24" s="15">
        <f>IF(COUNTIFS(Respostas!$B$2:$B$126,C$16,Respostas!$C$2:$C$126,$A24,Respostas!$R$2:$R$126,"&gt;=0")=0,"",AVERAGEIFS(Respostas!$R$2:$R$126,Respostas!$B$2:$B$126,C$16,Respostas!$C$2:$C$126,$A24))</f>
        <v/>
      </c>
      <c r="D24" s="15">
        <f>IF(COUNTIFS(Respostas!$B$2:$B$126,D$16,Respostas!$C$2:$C$126,$A24,Respostas!$R$2:$R$126,"&gt;=0")=0,"",AVERAGEIFS(Respostas!$R$2:$R$126,Respostas!$B$2:$B$126,D$16,Respostas!$C$2:$C$126,$A24))</f>
        <v/>
      </c>
      <c r="E24" s="15">
        <f>IF(COUNTIFS(Respostas!$B$2:$B$126,E$16,Respostas!$C$2:$C$126,$A24,Respostas!$R$2:$R$126,"&gt;=0")=0,"",AVERAGEIFS(Respostas!$R$2:$R$126,Respostas!$B$2:$B$126,E$16,Respostas!$C$2:$C$126,$A24))</f>
        <v/>
      </c>
      <c r="F24" s="15">
        <f>IF(COUNTIFS(Respostas!$B$2:$B$126,F$16,Respostas!$C$2:$C$126,$A24,Respostas!$R$2:$R$126,"&gt;=0")=0,"",AVERAGEIFS(Respostas!$R$2:$R$126,Respostas!$B$2:$B$126,F$16,Respostas!$C$2:$C$126,$A24))</f>
        <v/>
      </c>
    </row>
    <row r="25">
      <c r="A25" s="7" t="inlineStr">
        <is>
          <t>Norma CE</t>
        </is>
      </c>
      <c r="B25" s="15">
        <f>IF(COUNTIFS(Respostas!$B$2:$B$126,B$16,Respostas!$C$2:$C$126,$A25,Respostas!$R$2:$R$126,"&gt;=0")=0,"",AVERAGEIFS(Respostas!$R$2:$R$126,Respostas!$B$2:$B$126,B$16,Respostas!$C$2:$C$126,$A25))</f>
        <v/>
      </c>
      <c r="C25" s="15">
        <f>IF(COUNTIFS(Respostas!$B$2:$B$126,C$16,Respostas!$C$2:$C$126,$A25,Respostas!$R$2:$R$126,"&gt;=0")=0,"",AVERAGEIFS(Respostas!$R$2:$R$126,Respostas!$B$2:$B$126,C$16,Respostas!$C$2:$C$126,$A25))</f>
        <v/>
      </c>
      <c r="D25" s="15">
        <f>IF(COUNTIFS(Respostas!$B$2:$B$126,D$16,Respostas!$C$2:$C$126,$A25,Respostas!$R$2:$R$126,"&gt;=0")=0,"",AVERAGEIFS(Respostas!$R$2:$R$126,Respostas!$B$2:$B$126,D$16,Respostas!$C$2:$C$126,$A25))</f>
        <v/>
      </c>
      <c r="E25" s="15">
        <f>IF(COUNTIFS(Respostas!$B$2:$B$126,E$16,Respostas!$C$2:$C$126,$A25,Respostas!$R$2:$R$126,"&gt;=0")=0,"",AVERAGEIFS(Respostas!$R$2:$R$126,Respostas!$B$2:$B$126,E$16,Respostas!$C$2:$C$126,$A25))</f>
        <v/>
      </c>
      <c r="F25" s="15">
        <f>IF(COUNTIFS(Respostas!$B$2:$B$126,F$16,Respostas!$C$2:$C$126,$A25,Respostas!$R$2:$R$126,"&gt;=0")=0,"",AVERAGEIFS(Respostas!$R$2:$R$126,Respostas!$B$2:$B$126,F$16,Respostas!$C$2:$C$126,$A25))</f>
        <v/>
      </c>
    </row>
    <row r="26">
      <c r="A26" s="7" t="inlineStr">
        <is>
          <t>Incidente</t>
        </is>
      </c>
      <c r="B26" s="15">
        <f>IF(COUNTIFS(Respostas!$B$2:$B$126,B$16,Respostas!$C$2:$C$126,$A26,Respostas!$R$2:$R$126,"&gt;=0")=0,"",AVERAGEIFS(Respostas!$R$2:$R$126,Respostas!$B$2:$B$126,B$16,Respostas!$C$2:$C$126,$A26))</f>
        <v/>
      </c>
      <c r="C26" s="15">
        <f>IF(COUNTIFS(Respostas!$B$2:$B$126,C$16,Respostas!$C$2:$C$126,$A26,Respostas!$R$2:$R$126,"&gt;=0")=0,"",AVERAGEIFS(Respostas!$R$2:$R$126,Respostas!$B$2:$B$126,C$16,Respostas!$C$2:$C$126,$A26))</f>
        <v/>
      </c>
      <c r="D26" s="15">
        <f>IF(COUNTIFS(Respostas!$B$2:$B$126,D$16,Respostas!$C$2:$C$126,$A26,Respostas!$R$2:$R$126,"&gt;=0")=0,"",AVERAGEIFS(Respostas!$R$2:$R$126,Respostas!$B$2:$B$126,D$16,Respostas!$C$2:$C$126,$A26))</f>
        <v/>
      </c>
      <c r="E26" s="15">
        <f>IF(COUNTIFS(Respostas!$B$2:$B$126,E$16,Respostas!$C$2:$C$126,$A26,Respostas!$R$2:$R$126,"&gt;=0")=0,"",AVERAGEIFS(Respostas!$R$2:$R$126,Respostas!$B$2:$B$126,E$16,Respostas!$C$2:$C$126,$A26))</f>
        <v/>
      </c>
      <c r="F26" s="15">
        <f>IF(COUNTIFS(Respostas!$B$2:$B$126,F$16,Respostas!$C$2:$C$126,$A26,Respostas!$R$2:$R$126,"&gt;=0")=0,"",AVERAGEIFS(Respostas!$R$2:$R$126,Respostas!$B$2:$B$126,F$16,Respostas!$C$2:$C$126,$A26))</f>
        <v/>
      </c>
    </row>
  </sheetData>
  <mergeCells count="1">
    <mergeCell ref="B12:H1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2026-10-13T14:09:22Z</dcterms:created>
  <dcterms:modified xmlns:dcterms="http://purl.org/dc/terms/" xmlns:xsi="http://www.w3.org/2001/XMLSchema-instance" xsi:type="dcterms:W3CDTF">2026-10-13T14:13:59Z</dcterms:modified>
</cp:coreProperties>
</file>