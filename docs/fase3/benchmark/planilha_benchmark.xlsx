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erguntas" sheetId="2" state="visible" r:id="rId2"/>
    <sheet xmlns:r="http://schemas.openxmlformats.org/officeDocument/2006/relationships" name="Resposta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Resumo" sheetId="5" state="visible" r:id="rId5"/>
  </sheets>
  <definedNames>
    <definedName name="_xlnm._FilterDatabase" localSheetId="2" hidden="1">'Respostas'!$A$1:$X$126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9" fontId="2" fillId="3" borderId="1" applyAlignment="1" pivotButton="0" quotePrefix="0" xfId="0">
      <alignment vertical="top" wrapText="1"/>
    </xf>
    <xf numFmtId="2" fontId="2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5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Benchmark Fase 3: RAG jurídico × concorrentes</t>
        </is>
      </c>
    </row>
    <row r="3">
      <c r="A3" s="2" t="inlineStr">
        <is>
          <t>Objetivo: medir se Jus IA, Jurídico AI, LLM genérico já respondem bem às 25 perguntas de balcão (Registro de Imóveis × LAI × LGPD). O resultado alimenta o Gate 1.</t>
        </is>
      </c>
    </row>
    <row r="4">
      <c r="A4" s="2" t="inlineStr">
        <is>
          <t>1. Aba Perguntas: o oficial/DPO preenche o gabarito (colunas amarelas) ANTES de avaliar.</t>
        </is>
      </c>
    </row>
    <row r="5">
      <c r="A5" s="2" t="inlineStr">
        <is>
          <t>2. Aba Respostas: uma linha por pergunta × ferramenta. Cole a resposta integral, sem editar.</t>
        </is>
      </c>
    </row>
    <row r="6">
      <c r="A6" s="2" t="inlineStr">
        <is>
          <t>3. Mesma redação, sessão nova, sem contexto extra em cada ferramenta.</t>
        </is>
      </c>
    </row>
    <row r="7">
      <c r="A7" s="2" t="inlineStr">
        <is>
          <t>4. As linhas 'RAG atual' e 'RAG Fase 3' são preenchidas pelo script run_rag_benchmark.py (--xlsx).</t>
        </is>
      </c>
    </row>
    <row r="8">
      <c r="A8" s="2" t="inlineStr">
        <is>
          <t>5. Dê a nota de 0 a 2 em cada critério comparando com o gabarito. A Nota (0-10) só aparece com os 5 critérios preenchidos.</t>
        </is>
      </c>
    </row>
    <row r="9">
      <c r="A9" s="2" t="inlineStr">
        <is>
          <t>6. Aba Parametros: preencha a assinatura mensal dos concorrentes e confira preço/câmbio.</t>
        </is>
      </c>
    </row>
    <row r="10">
      <c r="A10" s="2" t="inlineStr">
        <is>
          <t>7. A aba Resumo e o sinal do Gate 1 são calculados sozinhos.</t>
        </is>
      </c>
    </row>
    <row r="12">
      <c r="A12" s="3" t="inlineStr">
        <is>
          <t>Legenda</t>
        </is>
      </c>
    </row>
    <row r="13">
      <c r="A13" s="4" t="inlineStr">
        <is>
          <t>Preencher</t>
        </is>
      </c>
      <c r="B13" s="2" t="inlineStr">
        <is>
          <t>Célula de entrada (texto azul, fundo amarelo)</t>
        </is>
      </c>
    </row>
    <row r="14">
      <c r="A14" s="5" t="inlineStr">
        <is>
          <t>Fórmula</t>
        </is>
      </c>
      <c r="B14" s="2" t="inlineStr">
        <is>
          <t>Calculado; não editar</t>
        </is>
      </c>
    </row>
    <row r="16">
      <c r="A16" s="3" t="inlineStr">
        <is>
          <t>Rubrica (0 a 2 por critério)</t>
        </is>
      </c>
    </row>
    <row r="17">
      <c r="A17" s="6" t="inlineStr">
        <is>
          <t>Critério</t>
        </is>
      </c>
      <c r="B17" s="6" t="inlineStr">
        <is>
          <t>0</t>
        </is>
      </c>
      <c r="C17" s="6" t="inlineStr">
        <is>
          <t>1</t>
        </is>
      </c>
      <c r="D17" s="6" t="inlineStr">
        <is>
          <t>2</t>
        </is>
      </c>
    </row>
    <row r="18">
      <c r="A18" s="7" t="inlineStr">
        <is>
          <t>Veredito</t>
        </is>
      </c>
      <c r="B18" s="7" t="inlineStr">
        <is>
          <t>errado</t>
        </is>
      </c>
      <c r="C18" s="7" t="inlineStr">
        <is>
          <t>ambíguo</t>
        </is>
      </c>
      <c r="D18" s="7" t="inlineStr">
        <is>
          <t>correto</t>
        </is>
      </c>
    </row>
    <row r="19">
      <c r="A19" s="7" t="inlineStr">
        <is>
          <t>Fundamentação</t>
        </is>
      </c>
      <c r="B19" s="7" t="inlineStr">
        <is>
          <t>sem citação</t>
        </is>
      </c>
      <c r="C19" s="7" t="inlineStr">
        <is>
          <t>lei genérica</t>
        </is>
      </c>
      <c r="D19" s="7" t="inlineStr">
        <is>
          <t>dispositivo específico correto</t>
        </is>
      </c>
    </row>
    <row r="20">
      <c r="A20" s="7" t="inlineStr">
        <is>
          <t>Norma CE</t>
        </is>
      </c>
      <c r="B20" s="7" t="inlineStr">
        <is>
          <t>ignora</t>
        </is>
      </c>
      <c r="C20" s="7" t="inlineStr">
        <is>
          <t>menciona</t>
        </is>
      </c>
      <c r="D20" s="7" t="inlineStr">
        <is>
          <t>aplica corretamente</t>
        </is>
      </c>
    </row>
    <row r="21">
      <c r="A21" s="7" t="inlineStr">
        <is>
          <t>Acionável</t>
        </is>
      </c>
      <c r="B21" s="7" t="inlineStr">
        <is>
          <t>só teoria</t>
        </is>
      </c>
      <c r="C21" s="7" t="inlineStr">
        <is>
          <t>orientação</t>
        </is>
      </c>
      <c r="D21" s="7" t="inlineStr">
        <is>
          <t>ato/minuta utilizável</t>
        </is>
      </c>
    </row>
    <row r="22">
      <c r="A22" s="7" t="inlineStr">
        <is>
          <t>Sem alucinação</t>
        </is>
      </c>
      <c r="B22" s="7" t="inlineStr">
        <is>
          <t>inventa norma</t>
        </is>
      </c>
      <c r="C22" s="7" t="inlineStr">
        <is>
          <t>impreciso</t>
        </is>
      </c>
      <c r="D22" s="7" t="inlineStr">
        <is>
          <t>nenhuma</t>
        </is>
      </c>
    </row>
    <row r="24">
      <c r="A24" s="3" t="inlineStr">
        <is>
          <t>Exemplo de linha preenchida (formato esperado)</t>
        </is>
      </c>
    </row>
    <row r="25">
      <c r="A25" s="3" t="inlineStr">
        <is>
          <t>ID / Ferramenta</t>
        </is>
      </c>
      <c r="B25" s="2" t="inlineStr">
        <is>
          <t>6 / Jus IA</t>
        </is>
      </c>
    </row>
    <row r="26">
      <c r="A26" s="3" t="inlineStr">
        <is>
          <t>Data da coleta</t>
        </is>
      </c>
      <c r="B26" s="2" t="inlineStr">
        <is>
          <t>2026-09-25</t>
        </is>
      </c>
    </row>
    <row r="27">
      <c r="A27" s="3" t="inlineStr">
        <is>
          <t>Versão / plano</t>
        </is>
      </c>
      <c r="B27" s="2" t="inlineStr">
        <is>
          <t>Plano Profissional (set/2026)</t>
        </is>
      </c>
    </row>
    <row r="28">
      <c r="A28" s="3" t="inlineStr">
        <is>
          <t>Resposta integral</t>
        </is>
      </c>
      <c r="B28" s="2" t="inlineStr">
        <is>
          <t>Não. A informação sobre titularidade é fornecida por certidão...</t>
        </is>
      </c>
    </row>
    <row r="29">
      <c r="A29" s="3" t="inlineStr">
        <is>
          <t>Fontes citadas</t>
        </is>
      </c>
      <c r="B29" s="2" t="inlineStr">
        <is>
          <t>Lei 6.015/73, art. 16-17; LGPD art. 7º</t>
        </is>
      </c>
    </row>
    <row r="30">
      <c r="A30" s="3" t="inlineStr">
        <is>
          <t>Latência (s)</t>
        </is>
      </c>
      <c r="B30" s="2" t="inlineStr">
        <is>
          <t>9</t>
        </is>
      </c>
    </row>
    <row r="31">
      <c r="A31" s="3" t="inlineStr">
        <is>
          <t>Notas 0-2</t>
        </is>
      </c>
      <c r="B31" s="2" t="inlineStr">
        <is>
          <t>Veredito 2 · Fundamentação 1 · Norma CE 0 · Acionável 1 · Alucinação 2 → Nota 6</t>
        </is>
      </c>
    </row>
    <row r="32">
      <c r="A32" s="3" t="inlineStr">
        <is>
          <t>Observações</t>
        </is>
      </c>
      <c r="B32" s="2" t="inlineStr">
        <is>
          <t>Não citou o Código de Normas do CE nem gerou minuta.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70" customWidth="1" min="3" max="3"/>
    <col width="30" customWidth="1" min="4" max="4"/>
    <col width="40" customWidth="1" min="5" max="5"/>
    <col width="20" customWidth="1" min="6" max="6"/>
    <col width="14" customWidth="1" min="7" max="7"/>
  </cols>
  <sheetData>
    <row r="1">
      <c r="A1" s="6" t="inlineStr">
        <is>
          <t>ID</t>
        </is>
      </c>
      <c r="B1" s="6" t="inlineStr">
        <is>
          <t>Categoria</t>
        </is>
      </c>
      <c r="C1" s="6" t="inlineStr">
        <is>
          <t>Pergunta</t>
        </is>
      </c>
      <c r="D1" s="6" t="inlineStr">
        <is>
          <t>Veredito esperado</t>
        </is>
      </c>
      <c r="E1" s="6" t="inlineStr">
        <is>
          <t>Base legal do gabarito</t>
        </is>
      </c>
      <c r="F1" s="6" t="inlineStr">
        <is>
          <t>Validado por</t>
        </is>
      </c>
      <c r="G1" s="6" t="inlineStr">
        <is>
          <t>Data da validação</t>
        </is>
      </c>
    </row>
    <row r="2">
      <c r="A2" s="7" t="n">
        <v>1</v>
      </c>
      <c r="B2" s="7" t="inlineStr">
        <is>
          <t>Certidão</t>
        </is>
      </c>
      <c r="C2" s="7" t="inlineStr">
        <is>
          <t>Um terceiro sem vínculo pede certidão de inteiro teor de uma matrícula. Posso emitir sem exigir motivo?</t>
        </is>
      </c>
      <c r="D2" s="8" t="n"/>
      <c r="E2" s="8" t="n"/>
      <c r="F2" s="8" t="n"/>
      <c r="G2" s="8" t="n"/>
    </row>
    <row r="3">
      <c r="A3" s="7" t="n">
        <v>2</v>
      </c>
      <c r="B3" s="7" t="inlineStr">
        <is>
          <t>Certidão</t>
        </is>
      </c>
      <c r="C3" s="7" t="inlineStr">
        <is>
          <t>A certidão de inteiro teor deve exibir o CPF completo dos proprietários?</t>
        </is>
      </c>
      <c r="D3" s="8" t="n"/>
      <c r="E3" s="8" t="n"/>
      <c r="F3" s="8" t="n"/>
      <c r="G3" s="8" t="n"/>
    </row>
    <row r="4">
      <c r="A4" s="7" t="n">
        <v>3</v>
      </c>
      <c r="B4" s="7" t="inlineStr">
        <is>
          <t>Certidão</t>
        </is>
      </c>
      <c r="C4" s="7" t="inlineStr">
        <is>
          <t>Pedido de certidão da matrícula com o histórico de todos os ônus, incluindo penhoras já canceladas. Emito integralmente?</t>
        </is>
      </c>
      <c r="D4" s="8" t="n"/>
      <c r="E4" s="8" t="n"/>
      <c r="F4" s="8" t="n"/>
      <c r="G4" s="8" t="n"/>
    </row>
    <row r="5">
      <c r="A5" s="7" t="n">
        <v>4</v>
      </c>
      <c r="B5" s="7" t="inlineStr">
        <is>
          <t>Busca</t>
        </is>
      </c>
      <c r="C5" s="7" t="inlineStr">
        <is>
          <t>Alguém pede para buscar "todos os imóveis em nome de fulano" informando só o nome. Posso fazer a busca e informar?</t>
        </is>
      </c>
      <c r="D5" s="8" t="n"/>
      <c r="E5" s="8" t="n"/>
      <c r="F5" s="8" t="n"/>
      <c r="G5" s="8" t="n"/>
    </row>
    <row r="6">
      <c r="A6" s="7" t="n">
        <v>5</v>
      </c>
      <c r="B6" s="7" t="inlineStr">
        <is>
          <t>Busca</t>
        </is>
      </c>
      <c r="C6" s="7" t="inlineStr">
        <is>
          <t>Busca por CPF solicitada por um credor para localizar bens do devedor. Qual é o procedimento?</t>
        </is>
      </c>
      <c r="D6" s="8" t="n"/>
      <c r="E6" s="8" t="n"/>
      <c r="F6" s="8" t="n"/>
      <c r="G6" s="8" t="n"/>
    </row>
    <row r="7">
      <c r="A7" s="7" t="n">
        <v>6</v>
      </c>
      <c r="B7" s="7" t="inlineStr">
        <is>
          <t>Informação verbal</t>
        </is>
      </c>
      <c r="C7" s="7" t="inlineStr">
        <is>
          <t>Um requerente pede, por telefone, o nome do proprietário de um imóvel. Posso informar?</t>
        </is>
      </c>
      <c r="D7" s="8" t="n"/>
      <c r="E7" s="8" t="n"/>
      <c r="F7" s="8" t="n"/>
      <c r="G7" s="8" t="n"/>
    </row>
    <row r="8">
      <c r="A8" s="7" t="n">
        <v>7</v>
      </c>
      <c r="B8" s="7" t="inlineStr">
        <is>
          <t>Informação verbal</t>
        </is>
      </c>
      <c r="C8" s="7" t="inlineStr">
        <is>
          <t>Um vizinho pergunta se o imóvel ao lado tem hipoteca. Posso responder no balcão?</t>
        </is>
      </c>
      <c r="D8" s="8" t="n"/>
      <c r="E8" s="8" t="n"/>
      <c r="F8" s="8" t="n"/>
      <c r="G8" s="8" t="n"/>
    </row>
    <row r="9">
      <c r="A9" s="7" t="n">
        <v>8</v>
      </c>
      <c r="B9" s="7" t="inlineStr">
        <is>
          <t>Poder público</t>
        </is>
      </c>
      <c r="C9" s="7" t="inlineStr">
        <is>
          <t>Uma prefeitura solicita lista de imóveis com proprietários e CPFs para cobrança de IPTU. Forneço? Em que formato?</t>
        </is>
      </c>
      <c r="D9" s="8" t="n"/>
      <c r="E9" s="8" t="n"/>
      <c r="F9" s="8" t="n"/>
      <c r="G9" s="8" t="n"/>
    </row>
    <row r="10">
      <c r="A10" s="7" t="n">
        <v>9</v>
      </c>
      <c r="B10" s="7" t="inlineStr">
        <is>
          <t>Poder público</t>
        </is>
      </c>
      <c r="C10" s="7" t="inlineStr">
        <is>
          <t>A polícia pede por ofício dados de um proprietário sem ordem judicial. Como proceder?</t>
        </is>
      </c>
      <c r="D10" s="8" t="n"/>
      <c r="E10" s="8" t="n"/>
      <c r="F10" s="8" t="n"/>
      <c r="G10" s="8" t="n"/>
    </row>
    <row r="11">
      <c r="A11" s="7" t="n">
        <v>10</v>
      </c>
      <c r="B11" s="7" t="inlineStr">
        <is>
          <t>Poder público</t>
        </is>
      </c>
      <c r="C11" s="7" t="inlineStr">
        <is>
          <t>O Ministério Público requisita certidões em massa. Há limite ou exigência de fundamentação?</t>
        </is>
      </c>
      <c r="D11" s="8" t="n"/>
      <c r="E11" s="8" t="n"/>
      <c r="F11" s="8" t="n"/>
      <c r="G11" s="8" t="n"/>
    </row>
    <row r="12">
      <c r="A12" s="7" t="n">
        <v>11</v>
      </c>
      <c r="B12" s="7" t="inlineStr">
        <is>
          <t>Transparência</t>
        </is>
      </c>
      <c r="C12" s="7" t="inlineStr">
        <is>
          <t>O CPF do proprietário pode aparecer em dados publicados em portal de transparência ou em resposta a pedido via LAI?</t>
        </is>
      </c>
      <c r="D12" s="8" t="n"/>
      <c r="E12" s="8" t="n"/>
      <c r="F12" s="8" t="n"/>
      <c r="G12" s="8" t="n"/>
    </row>
    <row r="13">
      <c r="A13" s="7" t="n">
        <v>12</v>
      </c>
      <c r="B13" s="7" t="inlineStr">
        <is>
          <t>Transparência</t>
        </is>
      </c>
      <c r="C13" s="7" t="inlineStr">
        <is>
          <t>Pedido via LAI sobre os emolumentos arrecadados pela serventia. É dever responder?</t>
        </is>
      </c>
      <c r="D13" s="8" t="n"/>
      <c r="E13" s="8" t="n"/>
      <c r="F13" s="8" t="n"/>
      <c r="G13" s="8" t="n"/>
    </row>
    <row r="14">
      <c r="A14" s="7" t="n">
        <v>13</v>
      </c>
      <c r="B14" s="7" t="inlineStr">
        <is>
          <t>Dado sensível</t>
        </is>
      </c>
      <c r="C14" s="7" t="inlineStr">
        <is>
          <t>A matrícula contém averbação de interdição/curatela. A certidão pode ser emitida sem restrição?</t>
        </is>
      </c>
      <c r="D14" s="8" t="n"/>
      <c r="E14" s="8" t="n"/>
      <c r="F14" s="8" t="n"/>
      <c r="G14" s="8" t="n"/>
    </row>
    <row r="15">
      <c r="A15" s="7" t="n">
        <v>14</v>
      </c>
      <c r="B15" s="7" t="inlineStr">
        <is>
          <t>Dado sensível</t>
        </is>
      </c>
      <c r="C15" s="7" t="inlineStr">
        <is>
          <t>Há averbação envolvendo menor de idade (ex.: doação a incapaz). Devo tarjar algo?</t>
        </is>
      </c>
      <c r="D15" s="8" t="n"/>
      <c r="E15" s="8" t="n"/>
      <c r="F15" s="8" t="n"/>
      <c r="G15" s="8" t="n"/>
    </row>
    <row r="16">
      <c r="A16" s="7" t="n">
        <v>15</v>
      </c>
      <c r="B16" s="7" t="inlineStr">
        <is>
          <t>Dado sensível</t>
        </is>
      </c>
      <c r="C16" s="7" t="inlineStr">
        <is>
          <t>Pedido de cópia de documento arquivado (título) que contém dados de saúde de uma das partes. Forneço?</t>
        </is>
      </c>
      <c r="D16" s="8" t="n"/>
      <c r="E16" s="8" t="n"/>
      <c r="F16" s="8" t="n"/>
      <c r="G16" s="8" t="n"/>
    </row>
    <row r="17">
      <c r="A17" s="7" t="n">
        <v>16</v>
      </c>
      <c r="B17" s="7" t="inlineStr">
        <is>
          <t>Tratamento</t>
        </is>
      </c>
      <c r="C17" s="7" t="inlineStr">
        <is>
          <t>Posso enviar certidão por e-mail/WhatsApp ao requerente? Que cuidados LGPD valem?</t>
        </is>
      </c>
      <c r="D17" s="8" t="n"/>
      <c r="E17" s="8" t="n"/>
      <c r="F17" s="8" t="n"/>
      <c r="G17" s="8" t="n"/>
    </row>
    <row r="18">
      <c r="A18" s="7" t="n">
        <v>17</v>
      </c>
      <c r="B18" s="7" t="inlineStr">
        <is>
          <t>Tratamento</t>
        </is>
      </c>
      <c r="C18" s="7" t="inlineStr">
        <is>
          <t>Por quanto tempo devo guardar os dados pessoais de quem pediu uma certidão?</t>
        </is>
      </c>
      <c r="D18" s="8" t="n"/>
      <c r="E18" s="8" t="n"/>
      <c r="F18" s="8" t="n"/>
      <c r="G18" s="8" t="n"/>
    </row>
    <row r="19">
      <c r="A19" s="7" t="n">
        <v>18</v>
      </c>
      <c r="B19" s="7" t="inlineStr">
        <is>
          <t>Tratamento</t>
        </is>
      </c>
      <c r="C19" s="7" t="inlineStr">
        <is>
          <t>Um titular pede, com base na LGPD, a exclusão dos seus dados da matrícula. Como respondo?</t>
        </is>
      </c>
      <c r="D19" s="8" t="n"/>
      <c r="E19" s="8" t="n"/>
      <c r="F19" s="8" t="n"/>
      <c r="G19" s="8" t="n"/>
    </row>
    <row r="20">
      <c r="A20" s="7" t="n">
        <v>19</v>
      </c>
      <c r="B20" s="7" t="inlineStr">
        <is>
          <t>Tratamento</t>
        </is>
      </c>
      <c r="C20" s="7" t="inlineStr">
        <is>
          <t>Um titular pede relatório de quem consultou sua matrícula. Tenho obrigação de informar?</t>
        </is>
      </c>
      <c r="D20" s="8" t="n"/>
      <c r="E20" s="8" t="n"/>
      <c r="F20" s="8" t="n"/>
      <c r="G20" s="8" t="n"/>
    </row>
    <row r="21">
      <c r="A21" s="7" t="n">
        <v>20</v>
      </c>
      <c r="B21" s="7" t="inlineStr">
        <is>
          <t>Tratamento</t>
        </is>
      </c>
      <c r="C21" s="7" t="inlineStr">
        <is>
          <t>Um titular pede correção de dado pessoal errado na matrícula. Qual é o procedimento: retificação ou pedido LGPD?</t>
        </is>
      </c>
      <c r="D21" s="8" t="n"/>
      <c r="E21" s="8" t="n"/>
      <c r="F21" s="8" t="n"/>
      <c r="G21" s="8" t="n"/>
    </row>
    <row r="22">
      <c r="A22" s="7" t="n">
        <v>21</v>
      </c>
      <c r="B22" s="7" t="inlineStr">
        <is>
          <t>Compartilhamento</t>
        </is>
      </c>
      <c r="C22" s="7" t="inlineStr">
        <is>
          <t>Uma empresa (imobiliária/fintech) quer acesso em lote ou por API a dados de matrículas. Posso firmar convênio?</t>
        </is>
      </c>
      <c r="D22" s="8" t="n"/>
      <c r="E22" s="8" t="n"/>
      <c r="F22" s="8" t="n"/>
      <c r="G22" s="8" t="n"/>
    </row>
    <row r="23">
      <c r="A23" s="7" t="n">
        <v>22</v>
      </c>
      <c r="B23" s="7" t="inlineStr">
        <is>
          <t>Compartilhamento</t>
        </is>
      </c>
      <c r="C23" s="7" t="inlineStr">
        <is>
          <t>Compartilhamento com ONR/SREI e centrais eletrônicas: preciso de base legal adicional ou de consentimento?</t>
        </is>
      </c>
      <c r="D23" s="8" t="n"/>
      <c r="E23" s="8" t="n"/>
      <c r="F23" s="8" t="n"/>
      <c r="G23" s="8" t="n"/>
    </row>
    <row r="24">
      <c r="A24" s="7" t="n">
        <v>23</v>
      </c>
      <c r="B24" s="7" t="inlineStr">
        <is>
          <t>Norma CE</t>
        </is>
      </c>
      <c r="C24" s="7" t="inlineStr">
        <is>
          <t>O que mudou com o Provimento nº 15/2026/CGJCE na qualificação das partes para registro?</t>
        </is>
      </c>
      <c r="D24" s="8" t="n"/>
      <c r="E24" s="8" t="n"/>
      <c r="F24" s="8" t="n"/>
      <c r="G24" s="8" t="n"/>
    </row>
    <row r="25">
      <c r="A25" s="7" t="n">
        <v>24</v>
      </c>
      <c r="B25" s="7" t="inlineStr">
        <is>
          <t>Norma CE</t>
        </is>
      </c>
      <c r="C25" s="7" t="inlineStr">
        <is>
          <t>Pelo Código de Normas do CE, quais são os requisitos para emitir certidão digital?</t>
        </is>
      </c>
      <c r="D25" s="8" t="n"/>
      <c r="E25" s="8" t="n"/>
      <c r="F25" s="8" t="n"/>
      <c r="G25" s="8" t="n"/>
    </row>
    <row r="26">
      <c r="A26" s="7" t="n">
        <v>25</v>
      </c>
      <c r="B26" s="7" t="inlineStr">
        <is>
          <t>Incidente</t>
        </is>
      </c>
      <c r="C26" s="7" t="inlineStr">
        <is>
          <t>Uma certidão com dados pessoais foi enviada ao e-mail errado. Quais são as obrigações da serventia?</t>
        </is>
      </c>
      <c r="D26" s="8" t="n"/>
      <c r="E26" s="8" t="n"/>
      <c r="F26" s="8" t="n"/>
      <c r="G26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6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50" customWidth="1" min="4" max="4"/>
    <col width="13" customWidth="1" min="5" max="5"/>
    <col width="18" customWidth="1" min="6" max="6"/>
    <col width="70" customWidth="1" min="7" max="7"/>
    <col width="30" customWidth="1" min="8" max="8"/>
    <col width="11" customWidth="1" min="9" max="9"/>
    <col width="11" customWidth="1" min="10" max="10"/>
    <col width="11" customWidth="1" min="11" max="11"/>
    <col width="13" customWidth="1" min="12" max="12"/>
    <col width="10" customWidth="1" min="13" max="13"/>
    <col width="13" customWidth="1" min="14" max="14"/>
    <col width="10" customWidth="1" min="15" max="15"/>
    <col width="10" customWidth="1" min="16" max="16"/>
    <col width="13" customWidth="1" min="17" max="17"/>
    <col width="10" customWidth="1" min="18" max="18"/>
    <col width="40" customWidth="1" min="19" max="19"/>
    <col width="11" customWidth="1" min="20" max="20"/>
    <col width="12" customWidth="1" min="21" max="21"/>
    <col width="11" customWidth="1" min="22" max="22"/>
    <col width="50" customWidth="1" min="23" max="23"/>
    <col width="18" customWidth="1" min="24" max="24"/>
  </cols>
  <sheetData>
    <row r="1" ht="30" customHeight="1">
      <c r="A1" s="6" t="inlineStr">
        <is>
          <t>ID</t>
        </is>
      </c>
      <c r="B1" s="6" t="inlineStr">
        <is>
          <t>Ferramenta</t>
        </is>
      </c>
      <c r="C1" s="6" t="inlineStr">
        <is>
          <t>Categoria</t>
        </is>
      </c>
      <c r="D1" s="6" t="inlineStr">
        <is>
          <t>Pergunta</t>
        </is>
      </c>
      <c r="E1" s="6" t="inlineStr">
        <is>
          <t>Data da coleta</t>
        </is>
      </c>
      <c r="F1" s="6" t="inlineStr">
        <is>
          <t>Versão / plano</t>
        </is>
      </c>
      <c r="G1" s="6" t="inlineStr">
        <is>
          <t>Resposta integral</t>
        </is>
      </c>
      <c r="H1" s="6" t="inlineStr">
        <is>
          <t>Fontes citadas</t>
        </is>
      </c>
      <c r="I1" s="6" t="inlineStr">
        <is>
          <t>Latência (s)</t>
        </is>
      </c>
      <c r="J1" s="6" t="inlineStr">
        <is>
          <t>Tokens entrada</t>
        </is>
      </c>
      <c r="K1" s="6" t="inlineStr">
        <is>
          <t>Tokens saída</t>
        </is>
      </c>
      <c r="L1" s="6" t="inlineStr">
        <is>
          <t>Custo estimado (R$)</t>
        </is>
      </c>
      <c r="M1" s="6" t="inlineStr">
        <is>
          <t>Veredito (0-2)</t>
        </is>
      </c>
      <c r="N1" s="6" t="inlineStr">
        <is>
          <t>Fundamentação (0-2)</t>
        </is>
      </c>
      <c r="O1" s="6" t="inlineStr">
        <is>
          <t>Norma CE (0-2)</t>
        </is>
      </c>
      <c r="P1" s="6" t="inlineStr">
        <is>
          <t>Acionável (0-2)</t>
        </is>
      </c>
      <c r="Q1" s="6" t="inlineStr">
        <is>
          <t>Sem alucinação (0-2)</t>
        </is>
      </c>
      <c r="R1" s="6" t="inlineStr">
        <is>
          <t>Nota (0-10)</t>
        </is>
      </c>
      <c r="S1" s="6" t="inlineStr">
        <is>
          <t>Observações</t>
        </is>
      </c>
      <c r="T1" s="6" t="inlineStr">
        <is>
          <t>Citações (total)</t>
        </is>
      </c>
      <c r="U1" s="6" t="inlineStr">
        <is>
          <t>Citações verificadas</t>
        </is>
      </c>
      <c r="V1" s="6" t="inlineStr">
        <is>
          <t>Taxa verificável</t>
        </is>
      </c>
      <c r="W1" s="6" t="inlineStr">
        <is>
          <t>Citações não verificadas</t>
        </is>
      </c>
      <c r="X1" s="6" t="inlineStr">
        <is>
          <t>Status da resposta</t>
        </is>
      </c>
    </row>
    <row r="2">
      <c r="A2" s="7" t="n">
        <v>1</v>
      </c>
      <c r="B2" s="7" t="inlineStr">
        <is>
          <t>Jus IA</t>
        </is>
      </c>
      <c r="C2" s="9">
        <f>INDEX(Perguntas!$B$2:$B$26,MATCH(A2,Perguntas!$A$2:$A$26,0))</f>
        <v/>
      </c>
      <c r="D2" s="9">
        <f>INDEX(Perguntas!$C$2:$C$26,MATCH(A2,Perguntas!$A$2:$A$26,0))</f>
        <v/>
      </c>
      <c r="E2" s="8" t="n"/>
      <c r="F2" s="8" t="n"/>
      <c r="G2" s="8" t="n"/>
      <c r="H2" s="8" t="n"/>
      <c r="I2" s="8" t="n"/>
      <c r="J2" s="8" t="n"/>
      <c r="K2" s="8" t="n"/>
      <c r="L2" s="10">
        <f>IF(COUNT(J2:K2)=2,(J2*Parametros!$B$3+K2*Parametros!$B$4)/1000000*Parametros!$B$5,"")</f>
        <v/>
      </c>
      <c r="M2" s="8" t="n"/>
      <c r="N2" s="8" t="n"/>
      <c r="O2" s="8" t="n"/>
      <c r="P2" s="8" t="n"/>
      <c r="Q2" s="8" t="n"/>
      <c r="R2" s="9">
        <f>IF(COUNT(M2:Q2)=5,SUM(M2:Q2),"")</f>
        <v/>
      </c>
      <c r="S2" s="8" t="n"/>
      <c r="T2" s="8" t="n"/>
      <c r="U2" s="8" t="n"/>
      <c r="V2" s="11">
        <f>IF(AND(ISNUMBER(T2),T2&gt;0),U2/T2,"")</f>
        <v/>
      </c>
      <c r="W2" s="8" t="n"/>
      <c r="X2" s="8" t="n"/>
    </row>
    <row r="3">
      <c r="A3" s="7" t="n">
        <v>2</v>
      </c>
      <c r="B3" s="7" t="inlineStr">
        <is>
          <t>Jus IA</t>
        </is>
      </c>
      <c r="C3" s="9">
        <f>INDEX(Perguntas!$B$2:$B$26,MATCH(A3,Perguntas!$A$2:$A$26,0))</f>
        <v/>
      </c>
      <c r="D3" s="9">
        <f>INDEX(Perguntas!$C$2:$C$26,MATCH(A3,Perguntas!$A$2:$A$26,0))</f>
        <v/>
      </c>
      <c r="E3" s="8" t="n"/>
      <c r="F3" s="8" t="n"/>
      <c r="G3" s="8" t="n"/>
      <c r="H3" s="8" t="n"/>
      <c r="I3" s="8" t="n"/>
      <c r="J3" s="8" t="n"/>
      <c r="K3" s="8" t="n"/>
      <c r="L3" s="10">
        <f>IF(COUNT(J3:K3)=2,(J3*Parametros!$B$3+K3*Parametros!$B$4)/1000000*Parametros!$B$5,"")</f>
        <v/>
      </c>
      <c r="M3" s="8" t="n"/>
      <c r="N3" s="8" t="n"/>
      <c r="O3" s="8" t="n"/>
      <c r="P3" s="8" t="n"/>
      <c r="Q3" s="8" t="n"/>
      <c r="R3" s="9">
        <f>IF(COUNT(M3:Q3)=5,SUM(M3:Q3),"")</f>
        <v/>
      </c>
      <c r="S3" s="8" t="n"/>
      <c r="T3" s="8" t="n"/>
      <c r="U3" s="8" t="n"/>
      <c r="V3" s="11">
        <f>IF(AND(ISNUMBER(T3),T3&gt;0),U3/T3,"")</f>
        <v/>
      </c>
      <c r="W3" s="8" t="n"/>
      <c r="X3" s="8" t="n"/>
    </row>
    <row r="4">
      <c r="A4" s="7" t="n">
        <v>3</v>
      </c>
      <c r="B4" s="7" t="inlineStr">
        <is>
          <t>Jus IA</t>
        </is>
      </c>
      <c r="C4" s="9">
        <f>INDEX(Perguntas!$B$2:$B$26,MATCH(A4,Perguntas!$A$2:$A$26,0))</f>
        <v/>
      </c>
      <c r="D4" s="9">
        <f>INDEX(Perguntas!$C$2:$C$26,MATCH(A4,Perguntas!$A$2:$A$26,0))</f>
        <v/>
      </c>
      <c r="E4" s="8" t="n"/>
      <c r="F4" s="8" t="n"/>
      <c r="G4" s="8" t="n"/>
      <c r="H4" s="8" t="n"/>
      <c r="I4" s="8" t="n"/>
      <c r="J4" s="8" t="n"/>
      <c r="K4" s="8" t="n"/>
      <c r="L4" s="10">
        <f>IF(COUNT(J4:K4)=2,(J4*Parametros!$B$3+K4*Parametros!$B$4)/1000000*Parametros!$B$5,"")</f>
        <v/>
      </c>
      <c r="M4" s="8" t="n"/>
      <c r="N4" s="8" t="n"/>
      <c r="O4" s="8" t="n"/>
      <c r="P4" s="8" t="n"/>
      <c r="Q4" s="8" t="n"/>
      <c r="R4" s="9">
        <f>IF(COUNT(M4:Q4)=5,SUM(M4:Q4),"")</f>
        <v/>
      </c>
      <c r="S4" s="8" t="n"/>
      <c r="T4" s="8" t="n"/>
      <c r="U4" s="8" t="n"/>
      <c r="V4" s="11">
        <f>IF(AND(ISNUMBER(T4),T4&gt;0),U4/T4,"")</f>
        <v/>
      </c>
      <c r="W4" s="8" t="n"/>
      <c r="X4" s="8" t="n"/>
    </row>
    <row r="5">
      <c r="A5" s="7" t="n">
        <v>4</v>
      </c>
      <c r="B5" s="7" t="inlineStr">
        <is>
          <t>Jus IA</t>
        </is>
      </c>
      <c r="C5" s="9">
        <f>INDEX(Perguntas!$B$2:$B$26,MATCH(A5,Perguntas!$A$2:$A$26,0))</f>
        <v/>
      </c>
      <c r="D5" s="9">
        <f>INDEX(Perguntas!$C$2:$C$26,MATCH(A5,Perguntas!$A$2:$A$26,0))</f>
        <v/>
      </c>
      <c r="E5" s="8" t="n"/>
      <c r="F5" s="8" t="n"/>
      <c r="G5" s="8" t="n"/>
      <c r="H5" s="8" t="n"/>
      <c r="I5" s="8" t="n"/>
      <c r="J5" s="8" t="n"/>
      <c r="K5" s="8" t="n"/>
      <c r="L5" s="10">
        <f>IF(COUNT(J5:K5)=2,(J5*Parametros!$B$3+K5*Parametros!$B$4)/1000000*Parametros!$B$5,"")</f>
        <v/>
      </c>
      <c r="M5" s="8" t="n"/>
      <c r="N5" s="8" t="n"/>
      <c r="O5" s="8" t="n"/>
      <c r="P5" s="8" t="n"/>
      <c r="Q5" s="8" t="n"/>
      <c r="R5" s="9">
        <f>IF(COUNT(M5:Q5)=5,SUM(M5:Q5),"")</f>
        <v/>
      </c>
      <c r="S5" s="8" t="n"/>
      <c r="T5" s="8" t="n"/>
      <c r="U5" s="8" t="n"/>
      <c r="V5" s="11">
        <f>IF(AND(ISNUMBER(T5),T5&gt;0),U5/T5,"")</f>
        <v/>
      </c>
      <c r="W5" s="8" t="n"/>
      <c r="X5" s="8" t="n"/>
    </row>
    <row r="6">
      <c r="A6" s="7" t="n">
        <v>5</v>
      </c>
      <c r="B6" s="7" t="inlineStr">
        <is>
          <t>Jus IA</t>
        </is>
      </c>
      <c r="C6" s="9">
        <f>INDEX(Perguntas!$B$2:$B$26,MATCH(A6,Perguntas!$A$2:$A$26,0))</f>
        <v/>
      </c>
      <c r="D6" s="9">
        <f>INDEX(Perguntas!$C$2:$C$26,MATCH(A6,Perguntas!$A$2:$A$26,0))</f>
        <v/>
      </c>
      <c r="E6" s="8" t="n"/>
      <c r="F6" s="8" t="n"/>
      <c r="G6" s="8" t="n"/>
      <c r="H6" s="8" t="n"/>
      <c r="I6" s="8" t="n"/>
      <c r="J6" s="8" t="n"/>
      <c r="K6" s="8" t="n"/>
      <c r="L6" s="10">
        <f>IF(COUNT(J6:K6)=2,(J6*Parametros!$B$3+K6*Parametros!$B$4)/1000000*Parametros!$B$5,"")</f>
        <v/>
      </c>
      <c r="M6" s="8" t="n"/>
      <c r="N6" s="8" t="n"/>
      <c r="O6" s="8" t="n"/>
      <c r="P6" s="8" t="n"/>
      <c r="Q6" s="8" t="n"/>
      <c r="R6" s="9">
        <f>IF(COUNT(M6:Q6)=5,SUM(M6:Q6),"")</f>
        <v/>
      </c>
      <c r="S6" s="8" t="n"/>
      <c r="T6" s="8" t="n"/>
      <c r="U6" s="8" t="n"/>
      <c r="V6" s="11">
        <f>IF(AND(ISNUMBER(T6),T6&gt;0),U6/T6,"")</f>
        <v/>
      </c>
      <c r="W6" s="8" t="n"/>
      <c r="X6" s="8" t="n"/>
    </row>
    <row r="7">
      <c r="A7" s="7" t="n">
        <v>6</v>
      </c>
      <c r="B7" s="7" t="inlineStr">
        <is>
          <t>Jus IA</t>
        </is>
      </c>
      <c r="C7" s="9">
        <f>INDEX(Perguntas!$B$2:$B$26,MATCH(A7,Perguntas!$A$2:$A$26,0))</f>
        <v/>
      </c>
      <c r="D7" s="9">
        <f>INDEX(Perguntas!$C$2:$C$26,MATCH(A7,Perguntas!$A$2:$A$26,0))</f>
        <v/>
      </c>
      <c r="E7" s="8" t="n"/>
      <c r="F7" s="8" t="n"/>
      <c r="G7" s="8" t="n"/>
      <c r="H7" s="8" t="n"/>
      <c r="I7" s="8" t="n"/>
      <c r="J7" s="8" t="n"/>
      <c r="K7" s="8" t="n"/>
      <c r="L7" s="10">
        <f>IF(COUNT(J7:K7)=2,(J7*Parametros!$B$3+K7*Parametros!$B$4)/1000000*Parametros!$B$5,"")</f>
        <v/>
      </c>
      <c r="M7" s="8" t="n"/>
      <c r="N7" s="8" t="n"/>
      <c r="O7" s="8" t="n"/>
      <c r="P7" s="8" t="n"/>
      <c r="Q7" s="8" t="n"/>
      <c r="R7" s="9">
        <f>IF(COUNT(M7:Q7)=5,SUM(M7:Q7),"")</f>
        <v/>
      </c>
      <c r="S7" s="8" t="n"/>
      <c r="T7" s="8" t="n"/>
      <c r="U7" s="8" t="n"/>
      <c r="V7" s="11">
        <f>IF(AND(ISNUMBER(T7),T7&gt;0),U7/T7,"")</f>
        <v/>
      </c>
      <c r="W7" s="8" t="n"/>
      <c r="X7" s="8" t="n"/>
    </row>
    <row r="8">
      <c r="A8" s="7" t="n">
        <v>7</v>
      </c>
      <c r="B8" s="7" t="inlineStr">
        <is>
          <t>Jus IA</t>
        </is>
      </c>
      <c r="C8" s="9">
        <f>INDEX(Perguntas!$B$2:$B$26,MATCH(A8,Perguntas!$A$2:$A$26,0))</f>
        <v/>
      </c>
      <c r="D8" s="9">
        <f>INDEX(Perguntas!$C$2:$C$26,MATCH(A8,Perguntas!$A$2:$A$26,0))</f>
        <v/>
      </c>
      <c r="E8" s="8" t="n"/>
      <c r="F8" s="8" t="n"/>
      <c r="G8" s="8" t="n"/>
      <c r="H8" s="8" t="n"/>
      <c r="I8" s="8" t="n"/>
      <c r="J8" s="8" t="n"/>
      <c r="K8" s="8" t="n"/>
      <c r="L8" s="10">
        <f>IF(COUNT(J8:K8)=2,(J8*Parametros!$B$3+K8*Parametros!$B$4)/1000000*Parametros!$B$5,"")</f>
        <v/>
      </c>
      <c r="M8" s="8" t="n"/>
      <c r="N8" s="8" t="n"/>
      <c r="O8" s="8" t="n"/>
      <c r="P8" s="8" t="n"/>
      <c r="Q8" s="8" t="n"/>
      <c r="R8" s="9">
        <f>IF(COUNT(M8:Q8)=5,SUM(M8:Q8),"")</f>
        <v/>
      </c>
      <c r="S8" s="8" t="n"/>
      <c r="T8" s="8" t="n"/>
      <c r="U8" s="8" t="n"/>
      <c r="V8" s="11">
        <f>IF(AND(ISNUMBER(T8),T8&gt;0),U8/T8,"")</f>
        <v/>
      </c>
      <c r="W8" s="8" t="n"/>
      <c r="X8" s="8" t="n"/>
    </row>
    <row r="9">
      <c r="A9" s="7" t="n">
        <v>8</v>
      </c>
      <c r="B9" s="7" t="inlineStr">
        <is>
          <t>Jus IA</t>
        </is>
      </c>
      <c r="C9" s="9">
        <f>INDEX(Perguntas!$B$2:$B$26,MATCH(A9,Perguntas!$A$2:$A$26,0))</f>
        <v/>
      </c>
      <c r="D9" s="9">
        <f>INDEX(Perguntas!$C$2:$C$26,MATCH(A9,Perguntas!$A$2:$A$26,0))</f>
        <v/>
      </c>
      <c r="E9" s="8" t="n"/>
      <c r="F9" s="8" t="n"/>
      <c r="G9" s="8" t="n"/>
      <c r="H9" s="8" t="n"/>
      <c r="I9" s="8" t="n"/>
      <c r="J9" s="8" t="n"/>
      <c r="K9" s="8" t="n"/>
      <c r="L9" s="10">
        <f>IF(COUNT(J9:K9)=2,(J9*Parametros!$B$3+K9*Parametros!$B$4)/1000000*Parametros!$B$5,"")</f>
        <v/>
      </c>
      <c r="M9" s="8" t="n"/>
      <c r="N9" s="8" t="n"/>
      <c r="O9" s="8" t="n"/>
      <c r="P9" s="8" t="n"/>
      <c r="Q9" s="8" t="n"/>
      <c r="R9" s="9">
        <f>IF(COUNT(M9:Q9)=5,SUM(M9:Q9),"")</f>
        <v/>
      </c>
      <c r="S9" s="8" t="n"/>
      <c r="T9" s="8" t="n"/>
      <c r="U9" s="8" t="n"/>
      <c r="V9" s="11">
        <f>IF(AND(ISNUMBER(T9),T9&gt;0),U9/T9,"")</f>
        <v/>
      </c>
      <c r="W9" s="8" t="n"/>
      <c r="X9" s="8" t="n"/>
    </row>
    <row r="10">
      <c r="A10" s="7" t="n">
        <v>9</v>
      </c>
      <c r="B10" s="7" t="inlineStr">
        <is>
          <t>Jus IA</t>
        </is>
      </c>
      <c r="C10" s="9">
        <f>INDEX(Perguntas!$B$2:$B$26,MATCH(A10,Perguntas!$A$2:$A$26,0))</f>
        <v/>
      </c>
      <c r="D10" s="9">
        <f>INDEX(Perguntas!$C$2:$C$26,MATCH(A10,Perguntas!$A$2:$A$26,0))</f>
        <v/>
      </c>
      <c r="E10" s="8" t="n"/>
      <c r="F10" s="8" t="n"/>
      <c r="G10" s="8" t="n"/>
      <c r="H10" s="8" t="n"/>
      <c r="I10" s="8" t="n"/>
      <c r="J10" s="8" t="n"/>
      <c r="K10" s="8" t="n"/>
      <c r="L10" s="10">
        <f>IF(COUNT(J10:K10)=2,(J10*Parametros!$B$3+K10*Parametros!$B$4)/1000000*Parametros!$B$5,"")</f>
        <v/>
      </c>
      <c r="M10" s="8" t="n"/>
      <c r="N10" s="8" t="n"/>
      <c r="O10" s="8" t="n"/>
      <c r="P10" s="8" t="n"/>
      <c r="Q10" s="8" t="n"/>
      <c r="R10" s="9">
        <f>IF(COUNT(M10:Q10)=5,SUM(M10:Q10),"")</f>
        <v/>
      </c>
      <c r="S10" s="8" t="n"/>
      <c r="T10" s="8" t="n"/>
      <c r="U10" s="8" t="n"/>
      <c r="V10" s="11">
        <f>IF(AND(ISNUMBER(T10),T10&gt;0),U10/T10,"")</f>
        <v/>
      </c>
      <c r="W10" s="8" t="n"/>
      <c r="X10" s="8" t="n"/>
    </row>
    <row r="11">
      <c r="A11" s="7" t="n">
        <v>10</v>
      </c>
      <c r="B11" s="7" t="inlineStr">
        <is>
          <t>Jus IA</t>
        </is>
      </c>
      <c r="C11" s="9">
        <f>INDEX(Perguntas!$B$2:$B$26,MATCH(A11,Perguntas!$A$2:$A$26,0))</f>
        <v/>
      </c>
      <c r="D11" s="9">
        <f>INDEX(Perguntas!$C$2:$C$26,MATCH(A11,Perguntas!$A$2:$A$26,0))</f>
        <v/>
      </c>
      <c r="E11" s="8" t="n"/>
      <c r="F11" s="8" t="n"/>
      <c r="G11" s="8" t="n"/>
      <c r="H11" s="8" t="n"/>
      <c r="I11" s="8" t="n"/>
      <c r="J11" s="8" t="n"/>
      <c r="K11" s="8" t="n"/>
      <c r="L11" s="10">
        <f>IF(COUNT(J11:K11)=2,(J11*Parametros!$B$3+K11*Parametros!$B$4)/1000000*Parametros!$B$5,"")</f>
        <v/>
      </c>
      <c r="M11" s="8" t="n"/>
      <c r="N11" s="8" t="n"/>
      <c r="O11" s="8" t="n"/>
      <c r="P11" s="8" t="n"/>
      <c r="Q11" s="8" t="n"/>
      <c r="R11" s="9">
        <f>IF(COUNT(M11:Q11)=5,SUM(M11:Q11),"")</f>
        <v/>
      </c>
      <c r="S11" s="8" t="n"/>
      <c r="T11" s="8" t="n"/>
      <c r="U11" s="8" t="n"/>
      <c r="V11" s="11">
        <f>IF(AND(ISNUMBER(T11),T11&gt;0),U11/T11,"")</f>
        <v/>
      </c>
      <c r="W11" s="8" t="n"/>
      <c r="X11" s="8" t="n"/>
    </row>
    <row r="12">
      <c r="A12" s="7" t="n">
        <v>11</v>
      </c>
      <c r="B12" s="7" t="inlineStr">
        <is>
          <t>Jus IA</t>
        </is>
      </c>
      <c r="C12" s="9">
        <f>INDEX(Perguntas!$B$2:$B$26,MATCH(A12,Perguntas!$A$2:$A$26,0))</f>
        <v/>
      </c>
      <c r="D12" s="9">
        <f>INDEX(Perguntas!$C$2:$C$26,MATCH(A12,Perguntas!$A$2:$A$26,0))</f>
        <v/>
      </c>
      <c r="E12" s="8" t="n"/>
      <c r="F12" s="8" t="n"/>
      <c r="G12" s="8" t="n"/>
      <c r="H12" s="8" t="n"/>
      <c r="I12" s="8" t="n"/>
      <c r="J12" s="8" t="n"/>
      <c r="K12" s="8" t="n"/>
      <c r="L12" s="10">
        <f>IF(COUNT(J12:K12)=2,(J12*Parametros!$B$3+K12*Parametros!$B$4)/1000000*Parametros!$B$5,"")</f>
        <v/>
      </c>
      <c r="M12" s="8" t="n"/>
      <c r="N12" s="8" t="n"/>
      <c r="O12" s="8" t="n"/>
      <c r="P12" s="8" t="n"/>
      <c r="Q12" s="8" t="n"/>
      <c r="R12" s="9">
        <f>IF(COUNT(M12:Q12)=5,SUM(M12:Q12),"")</f>
        <v/>
      </c>
      <c r="S12" s="8" t="n"/>
      <c r="T12" s="8" t="n"/>
      <c r="U12" s="8" t="n"/>
      <c r="V12" s="11">
        <f>IF(AND(ISNUMBER(T12),T12&gt;0),U12/T12,"")</f>
        <v/>
      </c>
      <c r="W12" s="8" t="n"/>
      <c r="X12" s="8" t="n"/>
    </row>
    <row r="13">
      <c r="A13" s="7" t="n">
        <v>12</v>
      </c>
      <c r="B13" s="7" t="inlineStr">
        <is>
          <t>Jus IA</t>
        </is>
      </c>
      <c r="C13" s="9">
        <f>INDEX(Perguntas!$B$2:$B$26,MATCH(A13,Perguntas!$A$2:$A$26,0))</f>
        <v/>
      </c>
      <c r="D13" s="9">
        <f>INDEX(Perguntas!$C$2:$C$26,MATCH(A13,Perguntas!$A$2:$A$26,0))</f>
        <v/>
      </c>
      <c r="E13" s="8" t="n"/>
      <c r="F13" s="8" t="n"/>
      <c r="G13" s="8" t="n"/>
      <c r="H13" s="8" t="n"/>
      <c r="I13" s="8" t="n"/>
      <c r="J13" s="8" t="n"/>
      <c r="K13" s="8" t="n"/>
      <c r="L13" s="10">
        <f>IF(COUNT(J13:K13)=2,(J13*Parametros!$B$3+K13*Parametros!$B$4)/1000000*Parametros!$B$5,"")</f>
        <v/>
      </c>
      <c r="M13" s="8" t="n"/>
      <c r="N13" s="8" t="n"/>
      <c r="O13" s="8" t="n"/>
      <c r="P13" s="8" t="n"/>
      <c r="Q13" s="8" t="n"/>
      <c r="R13" s="9">
        <f>IF(COUNT(M13:Q13)=5,SUM(M13:Q13),"")</f>
        <v/>
      </c>
      <c r="S13" s="8" t="n"/>
      <c r="T13" s="8" t="n"/>
      <c r="U13" s="8" t="n"/>
      <c r="V13" s="11">
        <f>IF(AND(ISNUMBER(T13),T13&gt;0),U13/T13,"")</f>
        <v/>
      </c>
      <c r="W13" s="8" t="n"/>
      <c r="X13" s="8" t="n"/>
    </row>
    <row r="14">
      <c r="A14" s="7" t="n">
        <v>13</v>
      </c>
      <c r="B14" s="7" t="inlineStr">
        <is>
          <t>Jus IA</t>
        </is>
      </c>
      <c r="C14" s="9">
        <f>INDEX(Perguntas!$B$2:$B$26,MATCH(A14,Perguntas!$A$2:$A$26,0))</f>
        <v/>
      </c>
      <c r="D14" s="9">
        <f>INDEX(Perguntas!$C$2:$C$26,MATCH(A14,Perguntas!$A$2:$A$26,0))</f>
        <v/>
      </c>
      <c r="E14" s="8" t="n"/>
      <c r="F14" s="8" t="n"/>
      <c r="G14" s="8" t="n"/>
      <c r="H14" s="8" t="n"/>
      <c r="I14" s="8" t="n"/>
      <c r="J14" s="8" t="n"/>
      <c r="K14" s="8" t="n"/>
      <c r="L14" s="10">
        <f>IF(COUNT(J14:K14)=2,(J14*Parametros!$B$3+K14*Parametros!$B$4)/1000000*Parametros!$B$5,"")</f>
        <v/>
      </c>
      <c r="M14" s="8" t="n"/>
      <c r="N14" s="8" t="n"/>
      <c r="O14" s="8" t="n"/>
      <c r="P14" s="8" t="n"/>
      <c r="Q14" s="8" t="n"/>
      <c r="R14" s="9">
        <f>IF(COUNT(M14:Q14)=5,SUM(M14:Q14),"")</f>
        <v/>
      </c>
      <c r="S14" s="8" t="n"/>
      <c r="T14" s="8" t="n"/>
      <c r="U14" s="8" t="n"/>
      <c r="V14" s="11">
        <f>IF(AND(ISNUMBER(T14),T14&gt;0),U14/T14,"")</f>
        <v/>
      </c>
      <c r="W14" s="8" t="n"/>
      <c r="X14" s="8" t="n"/>
    </row>
    <row r="15">
      <c r="A15" s="7" t="n">
        <v>14</v>
      </c>
      <c r="B15" s="7" t="inlineStr">
        <is>
          <t>Jus IA</t>
        </is>
      </c>
      <c r="C15" s="9">
        <f>INDEX(Perguntas!$B$2:$B$26,MATCH(A15,Perguntas!$A$2:$A$26,0))</f>
        <v/>
      </c>
      <c r="D15" s="9">
        <f>INDEX(Perguntas!$C$2:$C$26,MATCH(A15,Perguntas!$A$2:$A$26,0))</f>
        <v/>
      </c>
      <c r="E15" s="8" t="n"/>
      <c r="F15" s="8" t="n"/>
      <c r="G15" s="8" t="n"/>
      <c r="H15" s="8" t="n"/>
      <c r="I15" s="8" t="n"/>
      <c r="J15" s="8" t="n"/>
      <c r="K15" s="8" t="n"/>
      <c r="L15" s="10">
        <f>IF(COUNT(J15:K15)=2,(J15*Parametros!$B$3+K15*Parametros!$B$4)/1000000*Parametros!$B$5,"")</f>
        <v/>
      </c>
      <c r="M15" s="8" t="n"/>
      <c r="N15" s="8" t="n"/>
      <c r="O15" s="8" t="n"/>
      <c r="P15" s="8" t="n"/>
      <c r="Q15" s="8" t="n"/>
      <c r="R15" s="9">
        <f>IF(COUNT(M15:Q15)=5,SUM(M15:Q15),"")</f>
        <v/>
      </c>
      <c r="S15" s="8" t="n"/>
      <c r="T15" s="8" t="n"/>
      <c r="U15" s="8" t="n"/>
      <c r="V15" s="11">
        <f>IF(AND(ISNUMBER(T15),T15&gt;0),U15/T15,"")</f>
        <v/>
      </c>
      <c r="W15" s="8" t="n"/>
      <c r="X15" s="8" t="n"/>
    </row>
    <row r="16">
      <c r="A16" s="7" t="n">
        <v>15</v>
      </c>
      <c r="B16" s="7" t="inlineStr">
        <is>
          <t>Jus IA</t>
        </is>
      </c>
      <c r="C16" s="9">
        <f>INDEX(Perguntas!$B$2:$B$26,MATCH(A16,Perguntas!$A$2:$A$26,0))</f>
        <v/>
      </c>
      <c r="D16" s="9">
        <f>INDEX(Perguntas!$C$2:$C$26,MATCH(A16,Perguntas!$A$2:$A$26,0))</f>
        <v/>
      </c>
      <c r="E16" s="8" t="n"/>
      <c r="F16" s="8" t="n"/>
      <c r="G16" s="8" t="n"/>
      <c r="H16" s="8" t="n"/>
      <c r="I16" s="8" t="n"/>
      <c r="J16" s="8" t="n"/>
      <c r="K16" s="8" t="n"/>
      <c r="L16" s="10">
        <f>IF(COUNT(J16:K16)=2,(J16*Parametros!$B$3+K16*Parametros!$B$4)/1000000*Parametros!$B$5,"")</f>
        <v/>
      </c>
      <c r="M16" s="8" t="n"/>
      <c r="N16" s="8" t="n"/>
      <c r="O16" s="8" t="n"/>
      <c r="P16" s="8" t="n"/>
      <c r="Q16" s="8" t="n"/>
      <c r="R16" s="9">
        <f>IF(COUNT(M16:Q16)=5,SUM(M16:Q16),"")</f>
        <v/>
      </c>
      <c r="S16" s="8" t="n"/>
      <c r="T16" s="8" t="n"/>
      <c r="U16" s="8" t="n"/>
      <c r="V16" s="11">
        <f>IF(AND(ISNUMBER(T16),T16&gt;0),U16/T16,"")</f>
        <v/>
      </c>
      <c r="W16" s="8" t="n"/>
      <c r="X16" s="8" t="n"/>
    </row>
    <row r="17">
      <c r="A17" s="7" t="n">
        <v>16</v>
      </c>
      <c r="B17" s="7" t="inlineStr">
        <is>
          <t>Jus IA</t>
        </is>
      </c>
      <c r="C17" s="9">
        <f>INDEX(Perguntas!$B$2:$B$26,MATCH(A17,Perguntas!$A$2:$A$26,0))</f>
        <v/>
      </c>
      <c r="D17" s="9">
        <f>INDEX(Perguntas!$C$2:$C$26,MATCH(A17,Perguntas!$A$2:$A$26,0))</f>
        <v/>
      </c>
      <c r="E17" s="8" t="n"/>
      <c r="F17" s="8" t="n"/>
      <c r="G17" s="8" t="n"/>
      <c r="H17" s="8" t="n"/>
      <c r="I17" s="8" t="n"/>
      <c r="J17" s="8" t="n"/>
      <c r="K17" s="8" t="n"/>
      <c r="L17" s="10">
        <f>IF(COUNT(J17:K17)=2,(J17*Parametros!$B$3+K17*Parametros!$B$4)/1000000*Parametros!$B$5,"")</f>
        <v/>
      </c>
      <c r="M17" s="8" t="n"/>
      <c r="N17" s="8" t="n"/>
      <c r="O17" s="8" t="n"/>
      <c r="P17" s="8" t="n"/>
      <c r="Q17" s="8" t="n"/>
      <c r="R17" s="9">
        <f>IF(COUNT(M17:Q17)=5,SUM(M17:Q17),"")</f>
        <v/>
      </c>
      <c r="S17" s="8" t="n"/>
      <c r="T17" s="8" t="n"/>
      <c r="U17" s="8" t="n"/>
      <c r="V17" s="11">
        <f>IF(AND(ISNUMBER(T17),T17&gt;0),U17/T17,"")</f>
        <v/>
      </c>
      <c r="W17" s="8" t="n"/>
      <c r="X17" s="8" t="n"/>
    </row>
    <row r="18">
      <c r="A18" s="7" t="n">
        <v>17</v>
      </c>
      <c r="B18" s="7" t="inlineStr">
        <is>
          <t>Jus IA</t>
        </is>
      </c>
      <c r="C18" s="9">
        <f>INDEX(Perguntas!$B$2:$B$26,MATCH(A18,Perguntas!$A$2:$A$26,0))</f>
        <v/>
      </c>
      <c r="D18" s="9">
        <f>INDEX(Perguntas!$C$2:$C$26,MATCH(A18,Perguntas!$A$2:$A$26,0))</f>
        <v/>
      </c>
      <c r="E18" s="8" t="n"/>
      <c r="F18" s="8" t="n"/>
      <c r="G18" s="8" t="n"/>
      <c r="H18" s="8" t="n"/>
      <c r="I18" s="8" t="n"/>
      <c r="J18" s="8" t="n"/>
      <c r="K18" s="8" t="n"/>
      <c r="L18" s="10">
        <f>IF(COUNT(J18:K18)=2,(J18*Parametros!$B$3+K18*Parametros!$B$4)/1000000*Parametros!$B$5,"")</f>
        <v/>
      </c>
      <c r="M18" s="8" t="n"/>
      <c r="N18" s="8" t="n"/>
      <c r="O18" s="8" t="n"/>
      <c r="P18" s="8" t="n"/>
      <c r="Q18" s="8" t="n"/>
      <c r="R18" s="9">
        <f>IF(COUNT(M18:Q18)=5,SUM(M18:Q18),"")</f>
        <v/>
      </c>
      <c r="S18" s="8" t="n"/>
      <c r="T18" s="8" t="n"/>
      <c r="U18" s="8" t="n"/>
      <c r="V18" s="11">
        <f>IF(AND(ISNUMBER(T18),T18&gt;0),U18/T18,"")</f>
        <v/>
      </c>
      <c r="W18" s="8" t="n"/>
      <c r="X18" s="8" t="n"/>
    </row>
    <row r="19">
      <c r="A19" s="7" t="n">
        <v>18</v>
      </c>
      <c r="B19" s="7" t="inlineStr">
        <is>
          <t>Jus IA</t>
        </is>
      </c>
      <c r="C19" s="9">
        <f>INDEX(Perguntas!$B$2:$B$26,MATCH(A19,Perguntas!$A$2:$A$26,0))</f>
        <v/>
      </c>
      <c r="D19" s="9">
        <f>INDEX(Perguntas!$C$2:$C$26,MATCH(A19,Perguntas!$A$2:$A$26,0))</f>
        <v/>
      </c>
      <c r="E19" s="8" t="n"/>
      <c r="F19" s="8" t="n"/>
      <c r="G19" s="8" t="n"/>
      <c r="H19" s="8" t="n"/>
      <c r="I19" s="8" t="n"/>
      <c r="J19" s="8" t="n"/>
      <c r="K19" s="8" t="n"/>
      <c r="L19" s="10">
        <f>IF(COUNT(J19:K19)=2,(J19*Parametros!$B$3+K19*Parametros!$B$4)/1000000*Parametros!$B$5,"")</f>
        <v/>
      </c>
      <c r="M19" s="8" t="n"/>
      <c r="N19" s="8" t="n"/>
      <c r="O19" s="8" t="n"/>
      <c r="P19" s="8" t="n"/>
      <c r="Q19" s="8" t="n"/>
      <c r="R19" s="9">
        <f>IF(COUNT(M19:Q19)=5,SUM(M19:Q19),"")</f>
        <v/>
      </c>
      <c r="S19" s="8" t="n"/>
      <c r="T19" s="8" t="n"/>
      <c r="U19" s="8" t="n"/>
      <c r="V19" s="11">
        <f>IF(AND(ISNUMBER(T19),T19&gt;0),U19/T19,"")</f>
        <v/>
      </c>
      <c r="W19" s="8" t="n"/>
      <c r="X19" s="8" t="n"/>
    </row>
    <row r="20">
      <c r="A20" s="7" t="n">
        <v>19</v>
      </c>
      <c r="B20" s="7" t="inlineStr">
        <is>
          <t>Jus IA</t>
        </is>
      </c>
      <c r="C20" s="9">
        <f>INDEX(Perguntas!$B$2:$B$26,MATCH(A20,Perguntas!$A$2:$A$26,0))</f>
        <v/>
      </c>
      <c r="D20" s="9">
        <f>INDEX(Perguntas!$C$2:$C$26,MATCH(A20,Perguntas!$A$2:$A$26,0))</f>
        <v/>
      </c>
      <c r="E20" s="8" t="n"/>
      <c r="F20" s="8" t="n"/>
      <c r="G20" s="8" t="n"/>
      <c r="H20" s="8" t="n"/>
      <c r="I20" s="8" t="n"/>
      <c r="J20" s="8" t="n"/>
      <c r="K20" s="8" t="n"/>
      <c r="L20" s="10">
        <f>IF(COUNT(J20:K20)=2,(J20*Parametros!$B$3+K20*Parametros!$B$4)/1000000*Parametros!$B$5,"")</f>
        <v/>
      </c>
      <c r="M20" s="8" t="n"/>
      <c r="N20" s="8" t="n"/>
      <c r="O20" s="8" t="n"/>
      <c r="P20" s="8" t="n"/>
      <c r="Q20" s="8" t="n"/>
      <c r="R20" s="9">
        <f>IF(COUNT(M20:Q20)=5,SUM(M20:Q20),"")</f>
        <v/>
      </c>
      <c r="S20" s="8" t="n"/>
      <c r="T20" s="8" t="n"/>
      <c r="U20" s="8" t="n"/>
      <c r="V20" s="11">
        <f>IF(AND(ISNUMBER(T20),T20&gt;0),U20/T20,"")</f>
        <v/>
      </c>
      <c r="W20" s="8" t="n"/>
      <c r="X20" s="8" t="n"/>
    </row>
    <row r="21">
      <c r="A21" s="7" t="n">
        <v>20</v>
      </c>
      <c r="B21" s="7" t="inlineStr">
        <is>
          <t>Jus IA</t>
        </is>
      </c>
      <c r="C21" s="9">
        <f>INDEX(Perguntas!$B$2:$B$26,MATCH(A21,Perguntas!$A$2:$A$26,0))</f>
        <v/>
      </c>
      <c r="D21" s="9">
        <f>INDEX(Perguntas!$C$2:$C$26,MATCH(A21,Perguntas!$A$2:$A$26,0))</f>
        <v/>
      </c>
      <c r="E21" s="8" t="n"/>
      <c r="F21" s="8" t="n"/>
      <c r="G21" s="8" t="n"/>
      <c r="H21" s="8" t="n"/>
      <c r="I21" s="8" t="n"/>
      <c r="J21" s="8" t="n"/>
      <c r="K21" s="8" t="n"/>
      <c r="L21" s="10">
        <f>IF(COUNT(J21:K21)=2,(J21*Parametros!$B$3+K21*Parametros!$B$4)/1000000*Parametros!$B$5,"")</f>
        <v/>
      </c>
      <c r="M21" s="8" t="n"/>
      <c r="N21" s="8" t="n"/>
      <c r="O21" s="8" t="n"/>
      <c r="P21" s="8" t="n"/>
      <c r="Q21" s="8" t="n"/>
      <c r="R21" s="9">
        <f>IF(COUNT(M21:Q21)=5,SUM(M21:Q21),"")</f>
        <v/>
      </c>
      <c r="S21" s="8" t="n"/>
      <c r="T21" s="8" t="n"/>
      <c r="U21" s="8" t="n"/>
      <c r="V21" s="11">
        <f>IF(AND(ISNUMBER(T21),T21&gt;0),U21/T21,"")</f>
        <v/>
      </c>
      <c r="W21" s="8" t="n"/>
      <c r="X21" s="8" t="n"/>
    </row>
    <row r="22">
      <c r="A22" s="7" t="n">
        <v>21</v>
      </c>
      <c r="B22" s="7" t="inlineStr">
        <is>
          <t>Jus IA</t>
        </is>
      </c>
      <c r="C22" s="9">
        <f>INDEX(Perguntas!$B$2:$B$26,MATCH(A22,Perguntas!$A$2:$A$26,0))</f>
        <v/>
      </c>
      <c r="D22" s="9">
        <f>INDEX(Perguntas!$C$2:$C$26,MATCH(A22,Perguntas!$A$2:$A$26,0))</f>
        <v/>
      </c>
      <c r="E22" s="8" t="n"/>
      <c r="F22" s="8" t="n"/>
      <c r="G22" s="8" t="n"/>
      <c r="H22" s="8" t="n"/>
      <c r="I22" s="8" t="n"/>
      <c r="J22" s="8" t="n"/>
      <c r="K22" s="8" t="n"/>
      <c r="L22" s="10">
        <f>IF(COUNT(J22:K22)=2,(J22*Parametros!$B$3+K22*Parametros!$B$4)/1000000*Parametros!$B$5,"")</f>
        <v/>
      </c>
      <c r="M22" s="8" t="n"/>
      <c r="N22" s="8" t="n"/>
      <c r="O22" s="8" t="n"/>
      <c r="P22" s="8" t="n"/>
      <c r="Q22" s="8" t="n"/>
      <c r="R22" s="9">
        <f>IF(COUNT(M22:Q22)=5,SUM(M22:Q22),"")</f>
        <v/>
      </c>
      <c r="S22" s="8" t="n"/>
      <c r="T22" s="8" t="n"/>
      <c r="U22" s="8" t="n"/>
      <c r="V22" s="11">
        <f>IF(AND(ISNUMBER(T22),T22&gt;0),U22/T22,"")</f>
        <v/>
      </c>
      <c r="W22" s="8" t="n"/>
      <c r="X22" s="8" t="n"/>
    </row>
    <row r="23">
      <c r="A23" s="7" t="n">
        <v>22</v>
      </c>
      <c r="B23" s="7" t="inlineStr">
        <is>
          <t>Jus IA</t>
        </is>
      </c>
      <c r="C23" s="9">
        <f>INDEX(Perguntas!$B$2:$B$26,MATCH(A23,Perguntas!$A$2:$A$26,0))</f>
        <v/>
      </c>
      <c r="D23" s="9">
        <f>INDEX(Perguntas!$C$2:$C$26,MATCH(A23,Perguntas!$A$2:$A$26,0))</f>
        <v/>
      </c>
      <c r="E23" s="8" t="n"/>
      <c r="F23" s="8" t="n"/>
      <c r="G23" s="8" t="n"/>
      <c r="H23" s="8" t="n"/>
      <c r="I23" s="8" t="n"/>
      <c r="J23" s="8" t="n"/>
      <c r="K23" s="8" t="n"/>
      <c r="L23" s="10">
        <f>IF(COUNT(J23:K23)=2,(J23*Parametros!$B$3+K23*Parametros!$B$4)/1000000*Parametros!$B$5,"")</f>
        <v/>
      </c>
      <c r="M23" s="8" t="n"/>
      <c r="N23" s="8" t="n"/>
      <c r="O23" s="8" t="n"/>
      <c r="P23" s="8" t="n"/>
      <c r="Q23" s="8" t="n"/>
      <c r="R23" s="9">
        <f>IF(COUNT(M23:Q23)=5,SUM(M23:Q23),"")</f>
        <v/>
      </c>
      <c r="S23" s="8" t="n"/>
      <c r="T23" s="8" t="n"/>
      <c r="U23" s="8" t="n"/>
      <c r="V23" s="11">
        <f>IF(AND(ISNUMBER(T23),T23&gt;0),U23/T23,"")</f>
        <v/>
      </c>
      <c r="W23" s="8" t="n"/>
      <c r="X23" s="8" t="n"/>
    </row>
    <row r="24">
      <c r="A24" s="7" t="n">
        <v>23</v>
      </c>
      <c r="B24" s="7" t="inlineStr">
        <is>
          <t>Jus IA</t>
        </is>
      </c>
      <c r="C24" s="9">
        <f>INDEX(Perguntas!$B$2:$B$26,MATCH(A24,Perguntas!$A$2:$A$26,0))</f>
        <v/>
      </c>
      <c r="D24" s="9">
        <f>INDEX(Perguntas!$C$2:$C$26,MATCH(A24,Perguntas!$A$2:$A$26,0))</f>
        <v/>
      </c>
      <c r="E24" s="8" t="n"/>
      <c r="F24" s="8" t="n"/>
      <c r="G24" s="8" t="n"/>
      <c r="H24" s="8" t="n"/>
      <c r="I24" s="8" t="n"/>
      <c r="J24" s="8" t="n"/>
      <c r="K24" s="8" t="n"/>
      <c r="L24" s="10">
        <f>IF(COUNT(J24:K24)=2,(J24*Parametros!$B$3+K24*Parametros!$B$4)/1000000*Parametros!$B$5,"")</f>
        <v/>
      </c>
      <c r="M24" s="8" t="n"/>
      <c r="N24" s="8" t="n"/>
      <c r="O24" s="8" t="n"/>
      <c r="P24" s="8" t="n"/>
      <c r="Q24" s="8" t="n"/>
      <c r="R24" s="9">
        <f>IF(COUNT(M24:Q24)=5,SUM(M24:Q24),"")</f>
        <v/>
      </c>
      <c r="S24" s="8" t="n"/>
      <c r="T24" s="8" t="n"/>
      <c r="U24" s="8" t="n"/>
      <c r="V24" s="11">
        <f>IF(AND(ISNUMBER(T24),T24&gt;0),U24/T24,"")</f>
        <v/>
      </c>
      <c r="W24" s="8" t="n"/>
      <c r="X24" s="8" t="n"/>
    </row>
    <row r="25">
      <c r="A25" s="7" t="n">
        <v>24</v>
      </c>
      <c r="B25" s="7" t="inlineStr">
        <is>
          <t>Jus IA</t>
        </is>
      </c>
      <c r="C25" s="9">
        <f>INDEX(Perguntas!$B$2:$B$26,MATCH(A25,Perguntas!$A$2:$A$26,0))</f>
        <v/>
      </c>
      <c r="D25" s="9">
        <f>INDEX(Perguntas!$C$2:$C$26,MATCH(A25,Perguntas!$A$2:$A$26,0))</f>
        <v/>
      </c>
      <c r="E25" s="8" t="n"/>
      <c r="F25" s="8" t="n"/>
      <c r="G25" s="8" t="n"/>
      <c r="H25" s="8" t="n"/>
      <c r="I25" s="8" t="n"/>
      <c r="J25" s="8" t="n"/>
      <c r="K25" s="8" t="n"/>
      <c r="L25" s="10">
        <f>IF(COUNT(J25:K25)=2,(J25*Parametros!$B$3+K25*Parametros!$B$4)/1000000*Parametros!$B$5,"")</f>
        <v/>
      </c>
      <c r="M25" s="8" t="n"/>
      <c r="N25" s="8" t="n"/>
      <c r="O25" s="8" t="n"/>
      <c r="P25" s="8" t="n"/>
      <c r="Q25" s="8" t="n"/>
      <c r="R25" s="9">
        <f>IF(COUNT(M25:Q25)=5,SUM(M25:Q25),"")</f>
        <v/>
      </c>
      <c r="S25" s="8" t="n"/>
      <c r="T25" s="8" t="n"/>
      <c r="U25" s="8" t="n"/>
      <c r="V25" s="11">
        <f>IF(AND(ISNUMBER(T25),T25&gt;0),U25/T25,"")</f>
        <v/>
      </c>
      <c r="W25" s="8" t="n"/>
      <c r="X25" s="8" t="n"/>
    </row>
    <row r="26">
      <c r="A26" s="7" t="n">
        <v>25</v>
      </c>
      <c r="B26" s="7" t="inlineStr">
        <is>
          <t>Jus IA</t>
        </is>
      </c>
      <c r="C26" s="9">
        <f>INDEX(Perguntas!$B$2:$B$26,MATCH(A26,Perguntas!$A$2:$A$26,0))</f>
        <v/>
      </c>
      <c r="D26" s="9">
        <f>INDEX(Perguntas!$C$2:$C$26,MATCH(A26,Perguntas!$A$2:$A$26,0))</f>
        <v/>
      </c>
      <c r="E26" s="8" t="n"/>
      <c r="F26" s="8" t="n"/>
      <c r="G26" s="8" t="n"/>
      <c r="H26" s="8" t="n"/>
      <c r="I26" s="8" t="n"/>
      <c r="J26" s="8" t="n"/>
      <c r="K26" s="8" t="n"/>
      <c r="L26" s="10">
        <f>IF(COUNT(J26:K26)=2,(J26*Parametros!$B$3+K26*Parametros!$B$4)/1000000*Parametros!$B$5,"")</f>
        <v/>
      </c>
      <c r="M26" s="8" t="n"/>
      <c r="N26" s="8" t="n"/>
      <c r="O26" s="8" t="n"/>
      <c r="P26" s="8" t="n"/>
      <c r="Q26" s="8" t="n"/>
      <c r="R26" s="9">
        <f>IF(COUNT(M26:Q26)=5,SUM(M26:Q26),"")</f>
        <v/>
      </c>
      <c r="S26" s="8" t="n"/>
      <c r="T26" s="8" t="n"/>
      <c r="U26" s="8" t="n"/>
      <c r="V26" s="11">
        <f>IF(AND(ISNUMBER(T26),T26&gt;0),U26/T26,"")</f>
        <v/>
      </c>
      <c r="W26" s="8" t="n"/>
      <c r="X26" s="8" t="n"/>
    </row>
    <row r="27">
      <c r="A27" s="7" t="n">
        <v>1</v>
      </c>
      <c r="B27" s="7" t="inlineStr">
        <is>
          <t>Jurídico AI</t>
        </is>
      </c>
      <c r="C27" s="9">
        <f>INDEX(Perguntas!$B$2:$B$26,MATCH(A27,Perguntas!$A$2:$A$26,0))</f>
        <v/>
      </c>
      <c r="D27" s="9">
        <f>INDEX(Perguntas!$C$2:$C$26,MATCH(A27,Perguntas!$A$2:$A$26,0))</f>
        <v/>
      </c>
      <c r="E27" s="8" t="n"/>
      <c r="F27" s="8" t="n"/>
      <c r="G27" s="8" t="n"/>
      <c r="H27" s="8" t="n"/>
      <c r="I27" s="8" t="n"/>
      <c r="J27" s="8" t="n"/>
      <c r="K27" s="8" t="n"/>
      <c r="L27" s="10">
        <f>IF(COUNT(J27:K27)=2,(J27*Parametros!$B$3+K27*Parametros!$B$4)/1000000*Parametros!$B$5,"")</f>
        <v/>
      </c>
      <c r="M27" s="8" t="n"/>
      <c r="N27" s="8" t="n"/>
      <c r="O27" s="8" t="n"/>
      <c r="P27" s="8" t="n"/>
      <c r="Q27" s="8" t="n"/>
      <c r="R27" s="9">
        <f>IF(COUNT(M27:Q27)=5,SUM(M27:Q27),"")</f>
        <v/>
      </c>
      <c r="S27" s="8" t="n"/>
      <c r="T27" s="8" t="n"/>
      <c r="U27" s="8" t="n"/>
      <c r="V27" s="11">
        <f>IF(AND(ISNUMBER(T27),T27&gt;0),U27/T27,"")</f>
        <v/>
      </c>
      <c r="W27" s="8" t="n"/>
      <c r="X27" s="8" t="n"/>
    </row>
    <row r="28">
      <c r="A28" s="7" t="n">
        <v>2</v>
      </c>
      <c r="B28" s="7" t="inlineStr">
        <is>
          <t>Jurídico AI</t>
        </is>
      </c>
      <c r="C28" s="9">
        <f>INDEX(Perguntas!$B$2:$B$26,MATCH(A28,Perguntas!$A$2:$A$26,0))</f>
        <v/>
      </c>
      <c r="D28" s="9">
        <f>INDEX(Perguntas!$C$2:$C$26,MATCH(A28,Perguntas!$A$2:$A$26,0))</f>
        <v/>
      </c>
      <c r="E28" s="8" t="n"/>
      <c r="F28" s="8" t="n"/>
      <c r="G28" s="8" t="n"/>
      <c r="H28" s="8" t="n"/>
      <c r="I28" s="8" t="n"/>
      <c r="J28" s="8" t="n"/>
      <c r="K28" s="8" t="n"/>
      <c r="L28" s="10">
        <f>IF(COUNT(J28:K28)=2,(J28*Parametros!$B$3+K28*Parametros!$B$4)/1000000*Parametros!$B$5,"")</f>
        <v/>
      </c>
      <c r="M28" s="8" t="n"/>
      <c r="N28" s="8" t="n"/>
      <c r="O28" s="8" t="n"/>
      <c r="P28" s="8" t="n"/>
      <c r="Q28" s="8" t="n"/>
      <c r="R28" s="9">
        <f>IF(COUNT(M28:Q28)=5,SUM(M28:Q28),"")</f>
        <v/>
      </c>
      <c r="S28" s="8" t="n"/>
      <c r="T28" s="8" t="n"/>
      <c r="U28" s="8" t="n"/>
      <c r="V28" s="11">
        <f>IF(AND(ISNUMBER(T28),T28&gt;0),U28/T28,"")</f>
        <v/>
      </c>
      <c r="W28" s="8" t="n"/>
      <c r="X28" s="8" t="n"/>
    </row>
    <row r="29">
      <c r="A29" s="7" t="n">
        <v>3</v>
      </c>
      <c r="B29" s="7" t="inlineStr">
        <is>
          <t>Jurídico AI</t>
        </is>
      </c>
      <c r="C29" s="9">
        <f>INDEX(Perguntas!$B$2:$B$26,MATCH(A29,Perguntas!$A$2:$A$26,0))</f>
        <v/>
      </c>
      <c r="D29" s="9">
        <f>INDEX(Perguntas!$C$2:$C$26,MATCH(A29,Perguntas!$A$2:$A$26,0))</f>
        <v/>
      </c>
      <c r="E29" s="8" t="n"/>
      <c r="F29" s="8" t="n"/>
      <c r="G29" s="8" t="n"/>
      <c r="H29" s="8" t="n"/>
      <c r="I29" s="8" t="n"/>
      <c r="J29" s="8" t="n"/>
      <c r="K29" s="8" t="n"/>
      <c r="L29" s="10">
        <f>IF(COUNT(J29:K29)=2,(J29*Parametros!$B$3+K29*Parametros!$B$4)/1000000*Parametros!$B$5,"")</f>
        <v/>
      </c>
      <c r="M29" s="8" t="n"/>
      <c r="N29" s="8" t="n"/>
      <c r="O29" s="8" t="n"/>
      <c r="P29" s="8" t="n"/>
      <c r="Q29" s="8" t="n"/>
      <c r="R29" s="9">
        <f>IF(COUNT(M29:Q29)=5,SUM(M29:Q29),"")</f>
        <v/>
      </c>
      <c r="S29" s="8" t="n"/>
      <c r="T29" s="8" t="n"/>
      <c r="U29" s="8" t="n"/>
      <c r="V29" s="11">
        <f>IF(AND(ISNUMBER(T29),T29&gt;0),U29/T29,"")</f>
        <v/>
      </c>
      <c r="W29" s="8" t="n"/>
      <c r="X29" s="8" t="n"/>
    </row>
    <row r="30">
      <c r="A30" s="7" t="n">
        <v>4</v>
      </c>
      <c r="B30" s="7" t="inlineStr">
        <is>
          <t>Jurídico AI</t>
        </is>
      </c>
      <c r="C30" s="9">
        <f>INDEX(Perguntas!$B$2:$B$26,MATCH(A30,Perguntas!$A$2:$A$26,0))</f>
        <v/>
      </c>
      <c r="D30" s="9">
        <f>INDEX(Perguntas!$C$2:$C$26,MATCH(A30,Perguntas!$A$2:$A$26,0))</f>
        <v/>
      </c>
      <c r="E30" s="8" t="n"/>
      <c r="F30" s="8" t="n"/>
      <c r="G30" s="8" t="n"/>
      <c r="H30" s="8" t="n"/>
      <c r="I30" s="8" t="n"/>
      <c r="J30" s="8" t="n"/>
      <c r="K30" s="8" t="n"/>
      <c r="L30" s="10">
        <f>IF(COUNT(J30:K30)=2,(J30*Parametros!$B$3+K30*Parametros!$B$4)/1000000*Parametros!$B$5,"")</f>
        <v/>
      </c>
      <c r="M30" s="8" t="n"/>
      <c r="N30" s="8" t="n"/>
      <c r="O30" s="8" t="n"/>
      <c r="P30" s="8" t="n"/>
      <c r="Q30" s="8" t="n"/>
      <c r="R30" s="9">
        <f>IF(COUNT(M30:Q30)=5,SUM(M30:Q30),"")</f>
        <v/>
      </c>
      <c r="S30" s="8" t="n"/>
      <c r="T30" s="8" t="n"/>
      <c r="U30" s="8" t="n"/>
      <c r="V30" s="11">
        <f>IF(AND(ISNUMBER(T30),T30&gt;0),U30/T30,"")</f>
        <v/>
      </c>
      <c r="W30" s="8" t="n"/>
      <c r="X30" s="8" t="n"/>
    </row>
    <row r="31">
      <c r="A31" s="7" t="n">
        <v>5</v>
      </c>
      <c r="B31" s="7" t="inlineStr">
        <is>
          <t>Jurídico AI</t>
        </is>
      </c>
      <c r="C31" s="9">
        <f>INDEX(Perguntas!$B$2:$B$26,MATCH(A31,Perguntas!$A$2:$A$26,0))</f>
        <v/>
      </c>
      <c r="D31" s="9">
        <f>INDEX(Perguntas!$C$2:$C$26,MATCH(A31,Perguntas!$A$2:$A$26,0))</f>
        <v/>
      </c>
      <c r="E31" s="8" t="n"/>
      <c r="F31" s="8" t="n"/>
      <c r="G31" s="8" t="n"/>
      <c r="H31" s="8" t="n"/>
      <c r="I31" s="8" t="n"/>
      <c r="J31" s="8" t="n"/>
      <c r="K31" s="8" t="n"/>
      <c r="L31" s="10">
        <f>IF(COUNT(J31:K31)=2,(J31*Parametros!$B$3+K31*Parametros!$B$4)/1000000*Parametros!$B$5,"")</f>
        <v/>
      </c>
      <c r="M31" s="8" t="n"/>
      <c r="N31" s="8" t="n"/>
      <c r="O31" s="8" t="n"/>
      <c r="P31" s="8" t="n"/>
      <c r="Q31" s="8" t="n"/>
      <c r="R31" s="9">
        <f>IF(COUNT(M31:Q31)=5,SUM(M31:Q31),"")</f>
        <v/>
      </c>
      <c r="S31" s="8" t="n"/>
      <c r="T31" s="8" t="n"/>
      <c r="U31" s="8" t="n"/>
      <c r="V31" s="11">
        <f>IF(AND(ISNUMBER(T31),T31&gt;0),U31/T31,"")</f>
        <v/>
      </c>
      <c r="W31" s="8" t="n"/>
      <c r="X31" s="8" t="n"/>
    </row>
    <row r="32">
      <c r="A32" s="7" t="n">
        <v>6</v>
      </c>
      <c r="B32" s="7" t="inlineStr">
        <is>
          <t>Jurídico AI</t>
        </is>
      </c>
      <c r="C32" s="9">
        <f>INDEX(Perguntas!$B$2:$B$26,MATCH(A32,Perguntas!$A$2:$A$26,0))</f>
        <v/>
      </c>
      <c r="D32" s="9">
        <f>INDEX(Perguntas!$C$2:$C$26,MATCH(A32,Perguntas!$A$2:$A$26,0))</f>
        <v/>
      </c>
      <c r="E32" s="8" t="n"/>
      <c r="F32" s="8" t="n"/>
      <c r="G32" s="8" t="n"/>
      <c r="H32" s="8" t="n"/>
      <c r="I32" s="8" t="n"/>
      <c r="J32" s="8" t="n"/>
      <c r="K32" s="8" t="n"/>
      <c r="L32" s="10">
        <f>IF(COUNT(J32:K32)=2,(J32*Parametros!$B$3+K32*Parametros!$B$4)/1000000*Parametros!$B$5,"")</f>
        <v/>
      </c>
      <c r="M32" s="8" t="n"/>
      <c r="N32" s="8" t="n"/>
      <c r="O32" s="8" t="n"/>
      <c r="P32" s="8" t="n"/>
      <c r="Q32" s="8" t="n"/>
      <c r="R32" s="9">
        <f>IF(COUNT(M32:Q32)=5,SUM(M32:Q32),"")</f>
        <v/>
      </c>
      <c r="S32" s="8" t="n"/>
      <c r="T32" s="8" t="n"/>
      <c r="U32" s="8" t="n"/>
      <c r="V32" s="11">
        <f>IF(AND(ISNUMBER(T32),T32&gt;0),U32/T32,"")</f>
        <v/>
      </c>
      <c r="W32" s="8" t="n"/>
      <c r="X32" s="8" t="n"/>
    </row>
    <row r="33">
      <c r="A33" s="7" t="n">
        <v>7</v>
      </c>
      <c r="B33" s="7" t="inlineStr">
        <is>
          <t>Jurídico AI</t>
        </is>
      </c>
      <c r="C33" s="9">
        <f>INDEX(Perguntas!$B$2:$B$26,MATCH(A33,Perguntas!$A$2:$A$26,0))</f>
        <v/>
      </c>
      <c r="D33" s="9">
        <f>INDEX(Perguntas!$C$2:$C$26,MATCH(A33,Perguntas!$A$2:$A$26,0))</f>
        <v/>
      </c>
      <c r="E33" s="8" t="n"/>
      <c r="F33" s="8" t="n"/>
      <c r="G33" s="8" t="n"/>
      <c r="H33" s="8" t="n"/>
      <c r="I33" s="8" t="n"/>
      <c r="J33" s="8" t="n"/>
      <c r="K33" s="8" t="n"/>
      <c r="L33" s="10">
        <f>IF(COUNT(J33:K33)=2,(J33*Parametros!$B$3+K33*Parametros!$B$4)/1000000*Parametros!$B$5,"")</f>
        <v/>
      </c>
      <c r="M33" s="8" t="n"/>
      <c r="N33" s="8" t="n"/>
      <c r="O33" s="8" t="n"/>
      <c r="P33" s="8" t="n"/>
      <c r="Q33" s="8" t="n"/>
      <c r="R33" s="9">
        <f>IF(COUNT(M33:Q33)=5,SUM(M33:Q33),"")</f>
        <v/>
      </c>
      <c r="S33" s="8" t="n"/>
      <c r="T33" s="8" t="n"/>
      <c r="U33" s="8" t="n"/>
      <c r="V33" s="11">
        <f>IF(AND(ISNUMBER(T33),T33&gt;0),U33/T33,"")</f>
        <v/>
      </c>
      <c r="W33" s="8" t="n"/>
      <c r="X33" s="8" t="n"/>
    </row>
    <row r="34">
      <c r="A34" s="7" t="n">
        <v>8</v>
      </c>
      <c r="B34" s="7" t="inlineStr">
        <is>
          <t>Jurídico AI</t>
        </is>
      </c>
      <c r="C34" s="9">
        <f>INDEX(Perguntas!$B$2:$B$26,MATCH(A34,Perguntas!$A$2:$A$26,0))</f>
        <v/>
      </c>
      <c r="D34" s="9">
        <f>INDEX(Perguntas!$C$2:$C$26,MATCH(A34,Perguntas!$A$2:$A$26,0))</f>
        <v/>
      </c>
      <c r="E34" s="8" t="n"/>
      <c r="F34" s="8" t="n"/>
      <c r="G34" s="8" t="n"/>
      <c r="H34" s="8" t="n"/>
      <c r="I34" s="8" t="n"/>
      <c r="J34" s="8" t="n"/>
      <c r="K34" s="8" t="n"/>
      <c r="L34" s="10">
        <f>IF(COUNT(J34:K34)=2,(J34*Parametros!$B$3+K34*Parametros!$B$4)/1000000*Parametros!$B$5,"")</f>
        <v/>
      </c>
      <c r="M34" s="8" t="n"/>
      <c r="N34" s="8" t="n"/>
      <c r="O34" s="8" t="n"/>
      <c r="P34" s="8" t="n"/>
      <c r="Q34" s="8" t="n"/>
      <c r="R34" s="9">
        <f>IF(COUNT(M34:Q34)=5,SUM(M34:Q34),"")</f>
        <v/>
      </c>
      <c r="S34" s="8" t="n"/>
      <c r="T34" s="8" t="n"/>
      <c r="U34" s="8" t="n"/>
      <c r="V34" s="11">
        <f>IF(AND(ISNUMBER(T34),T34&gt;0),U34/T34,"")</f>
        <v/>
      </c>
      <c r="W34" s="8" t="n"/>
      <c r="X34" s="8" t="n"/>
    </row>
    <row r="35">
      <c r="A35" s="7" t="n">
        <v>9</v>
      </c>
      <c r="B35" s="7" t="inlineStr">
        <is>
          <t>Jurídico AI</t>
        </is>
      </c>
      <c r="C35" s="9">
        <f>INDEX(Perguntas!$B$2:$B$26,MATCH(A35,Perguntas!$A$2:$A$26,0))</f>
        <v/>
      </c>
      <c r="D35" s="9">
        <f>INDEX(Perguntas!$C$2:$C$26,MATCH(A35,Perguntas!$A$2:$A$26,0))</f>
        <v/>
      </c>
      <c r="E35" s="8" t="n"/>
      <c r="F35" s="8" t="n"/>
      <c r="G35" s="8" t="n"/>
      <c r="H35" s="8" t="n"/>
      <c r="I35" s="8" t="n"/>
      <c r="J35" s="8" t="n"/>
      <c r="K35" s="8" t="n"/>
      <c r="L35" s="10">
        <f>IF(COUNT(J35:K35)=2,(J35*Parametros!$B$3+K35*Parametros!$B$4)/1000000*Parametros!$B$5,"")</f>
        <v/>
      </c>
      <c r="M35" s="8" t="n"/>
      <c r="N35" s="8" t="n"/>
      <c r="O35" s="8" t="n"/>
      <c r="P35" s="8" t="n"/>
      <c r="Q35" s="8" t="n"/>
      <c r="R35" s="9">
        <f>IF(COUNT(M35:Q35)=5,SUM(M35:Q35),"")</f>
        <v/>
      </c>
      <c r="S35" s="8" t="n"/>
      <c r="T35" s="8" t="n"/>
      <c r="U35" s="8" t="n"/>
      <c r="V35" s="11">
        <f>IF(AND(ISNUMBER(T35),T35&gt;0),U35/T35,"")</f>
        <v/>
      </c>
      <c r="W35" s="8" t="n"/>
      <c r="X35" s="8" t="n"/>
    </row>
    <row r="36">
      <c r="A36" s="7" t="n">
        <v>10</v>
      </c>
      <c r="B36" s="7" t="inlineStr">
        <is>
          <t>Jurídico AI</t>
        </is>
      </c>
      <c r="C36" s="9">
        <f>INDEX(Perguntas!$B$2:$B$26,MATCH(A36,Perguntas!$A$2:$A$26,0))</f>
        <v/>
      </c>
      <c r="D36" s="9">
        <f>INDEX(Perguntas!$C$2:$C$26,MATCH(A36,Perguntas!$A$2:$A$26,0))</f>
        <v/>
      </c>
      <c r="E36" s="8" t="n"/>
      <c r="F36" s="8" t="n"/>
      <c r="G36" s="8" t="n"/>
      <c r="H36" s="8" t="n"/>
      <c r="I36" s="8" t="n"/>
      <c r="J36" s="8" t="n"/>
      <c r="K36" s="8" t="n"/>
      <c r="L36" s="10">
        <f>IF(COUNT(J36:K36)=2,(J36*Parametros!$B$3+K36*Parametros!$B$4)/1000000*Parametros!$B$5,"")</f>
        <v/>
      </c>
      <c r="M36" s="8" t="n"/>
      <c r="N36" s="8" t="n"/>
      <c r="O36" s="8" t="n"/>
      <c r="P36" s="8" t="n"/>
      <c r="Q36" s="8" t="n"/>
      <c r="R36" s="9">
        <f>IF(COUNT(M36:Q36)=5,SUM(M36:Q36),"")</f>
        <v/>
      </c>
      <c r="S36" s="8" t="n"/>
      <c r="T36" s="8" t="n"/>
      <c r="U36" s="8" t="n"/>
      <c r="V36" s="11">
        <f>IF(AND(ISNUMBER(T36),T36&gt;0),U36/T36,"")</f>
        <v/>
      </c>
      <c r="W36" s="8" t="n"/>
      <c r="X36" s="8" t="n"/>
    </row>
    <row r="37">
      <c r="A37" s="7" t="n">
        <v>11</v>
      </c>
      <c r="B37" s="7" t="inlineStr">
        <is>
          <t>Jurídico AI</t>
        </is>
      </c>
      <c r="C37" s="9">
        <f>INDEX(Perguntas!$B$2:$B$26,MATCH(A37,Perguntas!$A$2:$A$26,0))</f>
        <v/>
      </c>
      <c r="D37" s="9">
        <f>INDEX(Perguntas!$C$2:$C$26,MATCH(A37,Perguntas!$A$2:$A$26,0))</f>
        <v/>
      </c>
      <c r="E37" s="8" t="n"/>
      <c r="F37" s="8" t="n"/>
      <c r="G37" s="8" t="n"/>
      <c r="H37" s="8" t="n"/>
      <c r="I37" s="8" t="n"/>
      <c r="J37" s="8" t="n"/>
      <c r="K37" s="8" t="n"/>
      <c r="L37" s="10">
        <f>IF(COUNT(J37:K37)=2,(J37*Parametros!$B$3+K37*Parametros!$B$4)/1000000*Parametros!$B$5,"")</f>
        <v/>
      </c>
      <c r="M37" s="8" t="n"/>
      <c r="N37" s="8" t="n"/>
      <c r="O37" s="8" t="n"/>
      <c r="P37" s="8" t="n"/>
      <c r="Q37" s="8" t="n"/>
      <c r="R37" s="9">
        <f>IF(COUNT(M37:Q37)=5,SUM(M37:Q37),"")</f>
        <v/>
      </c>
      <c r="S37" s="8" t="n"/>
      <c r="T37" s="8" t="n"/>
      <c r="U37" s="8" t="n"/>
      <c r="V37" s="11">
        <f>IF(AND(ISNUMBER(T37),T37&gt;0),U37/T37,"")</f>
        <v/>
      </c>
      <c r="W37" s="8" t="n"/>
      <c r="X37" s="8" t="n"/>
    </row>
    <row r="38">
      <c r="A38" s="7" t="n">
        <v>12</v>
      </c>
      <c r="B38" s="7" t="inlineStr">
        <is>
          <t>Jurídico AI</t>
        </is>
      </c>
      <c r="C38" s="9">
        <f>INDEX(Perguntas!$B$2:$B$26,MATCH(A38,Perguntas!$A$2:$A$26,0))</f>
        <v/>
      </c>
      <c r="D38" s="9">
        <f>INDEX(Perguntas!$C$2:$C$26,MATCH(A38,Perguntas!$A$2:$A$26,0))</f>
        <v/>
      </c>
      <c r="E38" s="8" t="n"/>
      <c r="F38" s="8" t="n"/>
      <c r="G38" s="8" t="n"/>
      <c r="H38" s="8" t="n"/>
      <c r="I38" s="8" t="n"/>
      <c r="J38" s="8" t="n"/>
      <c r="K38" s="8" t="n"/>
      <c r="L38" s="10">
        <f>IF(COUNT(J38:K38)=2,(J38*Parametros!$B$3+K38*Parametros!$B$4)/1000000*Parametros!$B$5,"")</f>
        <v/>
      </c>
      <c r="M38" s="8" t="n"/>
      <c r="N38" s="8" t="n"/>
      <c r="O38" s="8" t="n"/>
      <c r="P38" s="8" t="n"/>
      <c r="Q38" s="8" t="n"/>
      <c r="R38" s="9">
        <f>IF(COUNT(M38:Q38)=5,SUM(M38:Q38),"")</f>
        <v/>
      </c>
      <c r="S38" s="8" t="n"/>
      <c r="T38" s="8" t="n"/>
      <c r="U38" s="8" t="n"/>
      <c r="V38" s="11">
        <f>IF(AND(ISNUMBER(T38),T38&gt;0),U38/T38,"")</f>
        <v/>
      </c>
      <c r="W38" s="8" t="n"/>
      <c r="X38" s="8" t="n"/>
    </row>
    <row r="39">
      <c r="A39" s="7" t="n">
        <v>13</v>
      </c>
      <c r="B39" s="7" t="inlineStr">
        <is>
          <t>Jurídico AI</t>
        </is>
      </c>
      <c r="C39" s="9">
        <f>INDEX(Perguntas!$B$2:$B$26,MATCH(A39,Perguntas!$A$2:$A$26,0))</f>
        <v/>
      </c>
      <c r="D39" s="9">
        <f>INDEX(Perguntas!$C$2:$C$26,MATCH(A39,Perguntas!$A$2:$A$26,0))</f>
        <v/>
      </c>
      <c r="E39" s="8" t="n"/>
      <c r="F39" s="8" t="n"/>
      <c r="G39" s="8" t="n"/>
      <c r="H39" s="8" t="n"/>
      <c r="I39" s="8" t="n"/>
      <c r="J39" s="8" t="n"/>
      <c r="K39" s="8" t="n"/>
      <c r="L39" s="10">
        <f>IF(COUNT(J39:K39)=2,(J39*Parametros!$B$3+K39*Parametros!$B$4)/1000000*Parametros!$B$5,"")</f>
        <v/>
      </c>
      <c r="M39" s="8" t="n"/>
      <c r="N39" s="8" t="n"/>
      <c r="O39" s="8" t="n"/>
      <c r="P39" s="8" t="n"/>
      <c r="Q39" s="8" t="n"/>
      <c r="R39" s="9">
        <f>IF(COUNT(M39:Q39)=5,SUM(M39:Q39),"")</f>
        <v/>
      </c>
      <c r="S39" s="8" t="n"/>
      <c r="T39" s="8" t="n"/>
      <c r="U39" s="8" t="n"/>
      <c r="V39" s="11">
        <f>IF(AND(ISNUMBER(T39),T39&gt;0),U39/T39,"")</f>
        <v/>
      </c>
      <c r="W39" s="8" t="n"/>
      <c r="X39" s="8" t="n"/>
    </row>
    <row r="40">
      <c r="A40" s="7" t="n">
        <v>14</v>
      </c>
      <c r="B40" s="7" t="inlineStr">
        <is>
          <t>Jurídico AI</t>
        </is>
      </c>
      <c r="C40" s="9">
        <f>INDEX(Perguntas!$B$2:$B$26,MATCH(A40,Perguntas!$A$2:$A$26,0))</f>
        <v/>
      </c>
      <c r="D40" s="9">
        <f>INDEX(Perguntas!$C$2:$C$26,MATCH(A40,Perguntas!$A$2:$A$26,0))</f>
        <v/>
      </c>
      <c r="E40" s="8" t="n"/>
      <c r="F40" s="8" t="n"/>
      <c r="G40" s="8" t="n"/>
      <c r="H40" s="8" t="n"/>
      <c r="I40" s="8" t="n"/>
      <c r="J40" s="8" t="n"/>
      <c r="K40" s="8" t="n"/>
      <c r="L40" s="10">
        <f>IF(COUNT(J40:K40)=2,(J40*Parametros!$B$3+K40*Parametros!$B$4)/1000000*Parametros!$B$5,"")</f>
        <v/>
      </c>
      <c r="M40" s="8" t="n"/>
      <c r="N40" s="8" t="n"/>
      <c r="O40" s="8" t="n"/>
      <c r="P40" s="8" t="n"/>
      <c r="Q40" s="8" t="n"/>
      <c r="R40" s="9">
        <f>IF(COUNT(M40:Q40)=5,SUM(M40:Q40),"")</f>
        <v/>
      </c>
      <c r="S40" s="8" t="n"/>
      <c r="T40" s="8" t="n"/>
      <c r="U40" s="8" t="n"/>
      <c r="V40" s="11">
        <f>IF(AND(ISNUMBER(T40),T40&gt;0),U40/T40,"")</f>
        <v/>
      </c>
      <c r="W40" s="8" t="n"/>
      <c r="X40" s="8" t="n"/>
    </row>
    <row r="41">
      <c r="A41" s="7" t="n">
        <v>15</v>
      </c>
      <c r="B41" s="7" t="inlineStr">
        <is>
          <t>Jurídico AI</t>
        </is>
      </c>
      <c r="C41" s="9">
        <f>INDEX(Perguntas!$B$2:$B$26,MATCH(A41,Perguntas!$A$2:$A$26,0))</f>
        <v/>
      </c>
      <c r="D41" s="9">
        <f>INDEX(Perguntas!$C$2:$C$26,MATCH(A41,Perguntas!$A$2:$A$26,0))</f>
        <v/>
      </c>
      <c r="E41" s="8" t="n"/>
      <c r="F41" s="8" t="n"/>
      <c r="G41" s="8" t="n"/>
      <c r="H41" s="8" t="n"/>
      <c r="I41" s="8" t="n"/>
      <c r="J41" s="8" t="n"/>
      <c r="K41" s="8" t="n"/>
      <c r="L41" s="10">
        <f>IF(COUNT(J41:K41)=2,(J41*Parametros!$B$3+K41*Parametros!$B$4)/1000000*Parametros!$B$5,"")</f>
        <v/>
      </c>
      <c r="M41" s="8" t="n"/>
      <c r="N41" s="8" t="n"/>
      <c r="O41" s="8" t="n"/>
      <c r="P41" s="8" t="n"/>
      <c r="Q41" s="8" t="n"/>
      <c r="R41" s="9">
        <f>IF(COUNT(M41:Q41)=5,SUM(M41:Q41),"")</f>
        <v/>
      </c>
      <c r="S41" s="8" t="n"/>
      <c r="T41" s="8" t="n"/>
      <c r="U41" s="8" t="n"/>
      <c r="V41" s="11">
        <f>IF(AND(ISNUMBER(T41),T41&gt;0),U41/T41,"")</f>
        <v/>
      </c>
      <c r="W41" s="8" t="n"/>
      <c r="X41" s="8" t="n"/>
    </row>
    <row r="42">
      <c r="A42" s="7" t="n">
        <v>16</v>
      </c>
      <c r="B42" s="7" t="inlineStr">
        <is>
          <t>Jurídico AI</t>
        </is>
      </c>
      <c r="C42" s="9">
        <f>INDEX(Perguntas!$B$2:$B$26,MATCH(A42,Perguntas!$A$2:$A$26,0))</f>
        <v/>
      </c>
      <c r="D42" s="9">
        <f>INDEX(Perguntas!$C$2:$C$26,MATCH(A42,Perguntas!$A$2:$A$26,0))</f>
        <v/>
      </c>
      <c r="E42" s="8" t="n"/>
      <c r="F42" s="8" t="n"/>
      <c r="G42" s="8" t="n"/>
      <c r="H42" s="8" t="n"/>
      <c r="I42" s="8" t="n"/>
      <c r="J42" s="8" t="n"/>
      <c r="K42" s="8" t="n"/>
      <c r="L42" s="10">
        <f>IF(COUNT(J42:K42)=2,(J42*Parametros!$B$3+K42*Parametros!$B$4)/1000000*Parametros!$B$5,"")</f>
        <v/>
      </c>
      <c r="M42" s="8" t="n"/>
      <c r="N42" s="8" t="n"/>
      <c r="O42" s="8" t="n"/>
      <c r="P42" s="8" t="n"/>
      <c r="Q42" s="8" t="n"/>
      <c r="R42" s="9">
        <f>IF(COUNT(M42:Q42)=5,SUM(M42:Q42),"")</f>
        <v/>
      </c>
      <c r="S42" s="8" t="n"/>
      <c r="T42" s="8" t="n"/>
      <c r="U42" s="8" t="n"/>
      <c r="V42" s="11">
        <f>IF(AND(ISNUMBER(T42),T42&gt;0),U42/T42,"")</f>
        <v/>
      </c>
      <c r="W42" s="8" t="n"/>
      <c r="X42" s="8" t="n"/>
    </row>
    <row r="43">
      <c r="A43" s="7" t="n">
        <v>17</v>
      </c>
      <c r="B43" s="7" t="inlineStr">
        <is>
          <t>Jurídico AI</t>
        </is>
      </c>
      <c r="C43" s="9">
        <f>INDEX(Perguntas!$B$2:$B$26,MATCH(A43,Perguntas!$A$2:$A$26,0))</f>
        <v/>
      </c>
      <c r="D43" s="9">
        <f>INDEX(Perguntas!$C$2:$C$26,MATCH(A43,Perguntas!$A$2:$A$26,0))</f>
        <v/>
      </c>
      <c r="E43" s="8" t="n"/>
      <c r="F43" s="8" t="n"/>
      <c r="G43" s="8" t="n"/>
      <c r="H43" s="8" t="n"/>
      <c r="I43" s="8" t="n"/>
      <c r="J43" s="8" t="n"/>
      <c r="K43" s="8" t="n"/>
      <c r="L43" s="10">
        <f>IF(COUNT(J43:K43)=2,(J43*Parametros!$B$3+K43*Parametros!$B$4)/1000000*Parametros!$B$5,"")</f>
        <v/>
      </c>
      <c r="M43" s="8" t="n"/>
      <c r="N43" s="8" t="n"/>
      <c r="O43" s="8" t="n"/>
      <c r="P43" s="8" t="n"/>
      <c r="Q43" s="8" t="n"/>
      <c r="R43" s="9">
        <f>IF(COUNT(M43:Q43)=5,SUM(M43:Q43),"")</f>
        <v/>
      </c>
      <c r="S43" s="8" t="n"/>
      <c r="T43" s="8" t="n"/>
      <c r="U43" s="8" t="n"/>
      <c r="V43" s="11">
        <f>IF(AND(ISNUMBER(T43),T43&gt;0),U43/T43,"")</f>
        <v/>
      </c>
      <c r="W43" s="8" t="n"/>
      <c r="X43" s="8" t="n"/>
    </row>
    <row r="44">
      <c r="A44" s="7" t="n">
        <v>18</v>
      </c>
      <c r="B44" s="7" t="inlineStr">
        <is>
          <t>Jurídico AI</t>
        </is>
      </c>
      <c r="C44" s="9">
        <f>INDEX(Perguntas!$B$2:$B$26,MATCH(A44,Perguntas!$A$2:$A$26,0))</f>
        <v/>
      </c>
      <c r="D44" s="9">
        <f>INDEX(Perguntas!$C$2:$C$26,MATCH(A44,Perguntas!$A$2:$A$26,0))</f>
        <v/>
      </c>
      <c r="E44" s="8" t="n"/>
      <c r="F44" s="8" t="n"/>
      <c r="G44" s="8" t="n"/>
      <c r="H44" s="8" t="n"/>
      <c r="I44" s="8" t="n"/>
      <c r="J44" s="8" t="n"/>
      <c r="K44" s="8" t="n"/>
      <c r="L44" s="10">
        <f>IF(COUNT(J44:K44)=2,(J44*Parametros!$B$3+K44*Parametros!$B$4)/1000000*Parametros!$B$5,"")</f>
        <v/>
      </c>
      <c r="M44" s="8" t="n"/>
      <c r="N44" s="8" t="n"/>
      <c r="O44" s="8" t="n"/>
      <c r="P44" s="8" t="n"/>
      <c r="Q44" s="8" t="n"/>
      <c r="R44" s="9">
        <f>IF(COUNT(M44:Q44)=5,SUM(M44:Q44),"")</f>
        <v/>
      </c>
      <c r="S44" s="8" t="n"/>
      <c r="T44" s="8" t="n"/>
      <c r="U44" s="8" t="n"/>
      <c r="V44" s="11">
        <f>IF(AND(ISNUMBER(T44),T44&gt;0),U44/T44,"")</f>
        <v/>
      </c>
      <c r="W44" s="8" t="n"/>
      <c r="X44" s="8" t="n"/>
    </row>
    <row r="45">
      <c r="A45" s="7" t="n">
        <v>19</v>
      </c>
      <c r="B45" s="7" t="inlineStr">
        <is>
          <t>Jurídico AI</t>
        </is>
      </c>
      <c r="C45" s="9">
        <f>INDEX(Perguntas!$B$2:$B$26,MATCH(A45,Perguntas!$A$2:$A$26,0))</f>
        <v/>
      </c>
      <c r="D45" s="9">
        <f>INDEX(Perguntas!$C$2:$C$26,MATCH(A45,Perguntas!$A$2:$A$26,0))</f>
        <v/>
      </c>
      <c r="E45" s="8" t="n"/>
      <c r="F45" s="8" t="n"/>
      <c r="G45" s="8" t="n"/>
      <c r="H45" s="8" t="n"/>
      <c r="I45" s="8" t="n"/>
      <c r="J45" s="8" t="n"/>
      <c r="K45" s="8" t="n"/>
      <c r="L45" s="10">
        <f>IF(COUNT(J45:K45)=2,(J45*Parametros!$B$3+K45*Parametros!$B$4)/1000000*Parametros!$B$5,"")</f>
        <v/>
      </c>
      <c r="M45" s="8" t="n"/>
      <c r="N45" s="8" t="n"/>
      <c r="O45" s="8" t="n"/>
      <c r="P45" s="8" t="n"/>
      <c r="Q45" s="8" t="n"/>
      <c r="R45" s="9">
        <f>IF(COUNT(M45:Q45)=5,SUM(M45:Q45),"")</f>
        <v/>
      </c>
      <c r="S45" s="8" t="n"/>
      <c r="T45" s="8" t="n"/>
      <c r="U45" s="8" t="n"/>
      <c r="V45" s="11">
        <f>IF(AND(ISNUMBER(T45),T45&gt;0),U45/T45,"")</f>
        <v/>
      </c>
      <c r="W45" s="8" t="n"/>
      <c r="X45" s="8" t="n"/>
    </row>
    <row r="46">
      <c r="A46" s="7" t="n">
        <v>20</v>
      </c>
      <c r="B46" s="7" t="inlineStr">
        <is>
          <t>Jurídico AI</t>
        </is>
      </c>
      <c r="C46" s="9">
        <f>INDEX(Perguntas!$B$2:$B$26,MATCH(A46,Perguntas!$A$2:$A$26,0))</f>
        <v/>
      </c>
      <c r="D46" s="9">
        <f>INDEX(Perguntas!$C$2:$C$26,MATCH(A46,Perguntas!$A$2:$A$26,0))</f>
        <v/>
      </c>
      <c r="E46" s="8" t="n"/>
      <c r="F46" s="8" t="n"/>
      <c r="G46" s="8" t="n"/>
      <c r="H46" s="8" t="n"/>
      <c r="I46" s="8" t="n"/>
      <c r="J46" s="8" t="n"/>
      <c r="K46" s="8" t="n"/>
      <c r="L46" s="10">
        <f>IF(COUNT(J46:K46)=2,(J46*Parametros!$B$3+K46*Parametros!$B$4)/1000000*Parametros!$B$5,"")</f>
        <v/>
      </c>
      <c r="M46" s="8" t="n"/>
      <c r="N46" s="8" t="n"/>
      <c r="O46" s="8" t="n"/>
      <c r="P46" s="8" t="n"/>
      <c r="Q46" s="8" t="n"/>
      <c r="R46" s="9">
        <f>IF(COUNT(M46:Q46)=5,SUM(M46:Q46),"")</f>
        <v/>
      </c>
      <c r="S46" s="8" t="n"/>
      <c r="T46" s="8" t="n"/>
      <c r="U46" s="8" t="n"/>
      <c r="V46" s="11">
        <f>IF(AND(ISNUMBER(T46),T46&gt;0),U46/T46,"")</f>
        <v/>
      </c>
      <c r="W46" s="8" t="n"/>
      <c r="X46" s="8" t="n"/>
    </row>
    <row r="47">
      <c r="A47" s="7" t="n">
        <v>21</v>
      </c>
      <c r="B47" s="7" t="inlineStr">
        <is>
          <t>Jurídico AI</t>
        </is>
      </c>
      <c r="C47" s="9">
        <f>INDEX(Perguntas!$B$2:$B$26,MATCH(A47,Perguntas!$A$2:$A$26,0))</f>
        <v/>
      </c>
      <c r="D47" s="9">
        <f>INDEX(Perguntas!$C$2:$C$26,MATCH(A47,Perguntas!$A$2:$A$26,0))</f>
        <v/>
      </c>
      <c r="E47" s="8" t="n"/>
      <c r="F47" s="8" t="n"/>
      <c r="G47" s="8" t="n"/>
      <c r="H47" s="8" t="n"/>
      <c r="I47" s="8" t="n"/>
      <c r="J47" s="8" t="n"/>
      <c r="K47" s="8" t="n"/>
      <c r="L47" s="10">
        <f>IF(COUNT(J47:K47)=2,(J47*Parametros!$B$3+K47*Parametros!$B$4)/1000000*Parametros!$B$5,"")</f>
        <v/>
      </c>
      <c r="M47" s="8" t="n"/>
      <c r="N47" s="8" t="n"/>
      <c r="O47" s="8" t="n"/>
      <c r="P47" s="8" t="n"/>
      <c r="Q47" s="8" t="n"/>
      <c r="R47" s="9">
        <f>IF(COUNT(M47:Q47)=5,SUM(M47:Q47),"")</f>
        <v/>
      </c>
      <c r="S47" s="8" t="n"/>
      <c r="T47" s="8" t="n"/>
      <c r="U47" s="8" t="n"/>
      <c r="V47" s="11">
        <f>IF(AND(ISNUMBER(T47),T47&gt;0),U47/T47,"")</f>
        <v/>
      </c>
      <c r="W47" s="8" t="n"/>
      <c r="X47" s="8" t="n"/>
    </row>
    <row r="48">
      <c r="A48" s="7" t="n">
        <v>22</v>
      </c>
      <c r="B48" s="7" t="inlineStr">
        <is>
          <t>Jurídico AI</t>
        </is>
      </c>
      <c r="C48" s="9">
        <f>INDEX(Perguntas!$B$2:$B$26,MATCH(A48,Perguntas!$A$2:$A$26,0))</f>
        <v/>
      </c>
      <c r="D48" s="9">
        <f>INDEX(Perguntas!$C$2:$C$26,MATCH(A48,Perguntas!$A$2:$A$26,0))</f>
        <v/>
      </c>
      <c r="E48" s="8" t="n"/>
      <c r="F48" s="8" t="n"/>
      <c r="G48" s="8" t="n"/>
      <c r="H48" s="8" t="n"/>
      <c r="I48" s="8" t="n"/>
      <c r="J48" s="8" t="n"/>
      <c r="K48" s="8" t="n"/>
      <c r="L48" s="10">
        <f>IF(COUNT(J48:K48)=2,(J48*Parametros!$B$3+K48*Parametros!$B$4)/1000000*Parametros!$B$5,"")</f>
        <v/>
      </c>
      <c r="M48" s="8" t="n"/>
      <c r="N48" s="8" t="n"/>
      <c r="O48" s="8" t="n"/>
      <c r="P48" s="8" t="n"/>
      <c r="Q48" s="8" t="n"/>
      <c r="R48" s="9">
        <f>IF(COUNT(M48:Q48)=5,SUM(M48:Q48),"")</f>
        <v/>
      </c>
      <c r="S48" s="8" t="n"/>
      <c r="T48" s="8" t="n"/>
      <c r="U48" s="8" t="n"/>
      <c r="V48" s="11">
        <f>IF(AND(ISNUMBER(T48),T48&gt;0),U48/T48,"")</f>
        <v/>
      </c>
      <c r="W48" s="8" t="n"/>
      <c r="X48" s="8" t="n"/>
    </row>
    <row r="49">
      <c r="A49" s="7" t="n">
        <v>23</v>
      </c>
      <c r="B49" s="7" t="inlineStr">
        <is>
          <t>Jurídico AI</t>
        </is>
      </c>
      <c r="C49" s="9">
        <f>INDEX(Perguntas!$B$2:$B$26,MATCH(A49,Perguntas!$A$2:$A$26,0))</f>
        <v/>
      </c>
      <c r="D49" s="9">
        <f>INDEX(Perguntas!$C$2:$C$26,MATCH(A49,Perguntas!$A$2:$A$26,0))</f>
        <v/>
      </c>
      <c r="E49" s="8" t="n"/>
      <c r="F49" s="8" t="n"/>
      <c r="G49" s="8" t="n"/>
      <c r="H49" s="8" t="n"/>
      <c r="I49" s="8" t="n"/>
      <c r="J49" s="8" t="n"/>
      <c r="K49" s="8" t="n"/>
      <c r="L49" s="10">
        <f>IF(COUNT(J49:K49)=2,(J49*Parametros!$B$3+K49*Parametros!$B$4)/1000000*Parametros!$B$5,"")</f>
        <v/>
      </c>
      <c r="M49" s="8" t="n"/>
      <c r="N49" s="8" t="n"/>
      <c r="O49" s="8" t="n"/>
      <c r="P49" s="8" t="n"/>
      <c r="Q49" s="8" t="n"/>
      <c r="R49" s="9">
        <f>IF(COUNT(M49:Q49)=5,SUM(M49:Q49),"")</f>
        <v/>
      </c>
      <c r="S49" s="8" t="n"/>
      <c r="T49" s="8" t="n"/>
      <c r="U49" s="8" t="n"/>
      <c r="V49" s="11">
        <f>IF(AND(ISNUMBER(T49),T49&gt;0),U49/T49,"")</f>
        <v/>
      </c>
      <c r="W49" s="8" t="n"/>
      <c r="X49" s="8" t="n"/>
    </row>
    <row r="50">
      <c r="A50" s="7" t="n">
        <v>24</v>
      </c>
      <c r="B50" s="7" t="inlineStr">
        <is>
          <t>Jurídico AI</t>
        </is>
      </c>
      <c r="C50" s="9">
        <f>INDEX(Perguntas!$B$2:$B$26,MATCH(A50,Perguntas!$A$2:$A$26,0))</f>
        <v/>
      </c>
      <c r="D50" s="9">
        <f>INDEX(Perguntas!$C$2:$C$26,MATCH(A50,Perguntas!$A$2:$A$26,0))</f>
        <v/>
      </c>
      <c r="E50" s="8" t="n"/>
      <c r="F50" s="8" t="n"/>
      <c r="G50" s="8" t="n"/>
      <c r="H50" s="8" t="n"/>
      <c r="I50" s="8" t="n"/>
      <c r="J50" s="8" t="n"/>
      <c r="K50" s="8" t="n"/>
      <c r="L50" s="10">
        <f>IF(COUNT(J50:K50)=2,(J50*Parametros!$B$3+K50*Parametros!$B$4)/1000000*Parametros!$B$5,"")</f>
        <v/>
      </c>
      <c r="M50" s="8" t="n"/>
      <c r="N50" s="8" t="n"/>
      <c r="O50" s="8" t="n"/>
      <c r="P50" s="8" t="n"/>
      <c r="Q50" s="8" t="n"/>
      <c r="R50" s="9">
        <f>IF(COUNT(M50:Q50)=5,SUM(M50:Q50),"")</f>
        <v/>
      </c>
      <c r="S50" s="8" t="n"/>
      <c r="T50" s="8" t="n"/>
      <c r="U50" s="8" t="n"/>
      <c r="V50" s="11">
        <f>IF(AND(ISNUMBER(T50),T50&gt;0),U50/T50,"")</f>
        <v/>
      </c>
      <c r="W50" s="8" t="n"/>
      <c r="X50" s="8" t="n"/>
    </row>
    <row r="51">
      <c r="A51" s="7" t="n">
        <v>25</v>
      </c>
      <c r="B51" s="7" t="inlineStr">
        <is>
          <t>Jurídico AI</t>
        </is>
      </c>
      <c r="C51" s="9">
        <f>INDEX(Perguntas!$B$2:$B$26,MATCH(A51,Perguntas!$A$2:$A$26,0))</f>
        <v/>
      </c>
      <c r="D51" s="9">
        <f>INDEX(Perguntas!$C$2:$C$26,MATCH(A51,Perguntas!$A$2:$A$26,0))</f>
        <v/>
      </c>
      <c r="E51" s="8" t="n"/>
      <c r="F51" s="8" t="n"/>
      <c r="G51" s="8" t="n"/>
      <c r="H51" s="8" t="n"/>
      <c r="I51" s="8" t="n"/>
      <c r="J51" s="8" t="n"/>
      <c r="K51" s="8" t="n"/>
      <c r="L51" s="10">
        <f>IF(COUNT(J51:K51)=2,(J51*Parametros!$B$3+K51*Parametros!$B$4)/1000000*Parametros!$B$5,"")</f>
        <v/>
      </c>
      <c r="M51" s="8" t="n"/>
      <c r="N51" s="8" t="n"/>
      <c r="O51" s="8" t="n"/>
      <c r="P51" s="8" t="n"/>
      <c r="Q51" s="8" t="n"/>
      <c r="R51" s="9">
        <f>IF(COUNT(M51:Q51)=5,SUM(M51:Q51),"")</f>
        <v/>
      </c>
      <c r="S51" s="8" t="n"/>
      <c r="T51" s="8" t="n"/>
      <c r="U51" s="8" t="n"/>
      <c r="V51" s="11">
        <f>IF(AND(ISNUMBER(T51),T51&gt;0),U51/T51,"")</f>
        <v/>
      </c>
      <c r="W51" s="8" t="n"/>
      <c r="X51" s="8" t="n"/>
    </row>
    <row r="52">
      <c r="A52" s="7" t="n">
        <v>1</v>
      </c>
      <c r="B52" s="7" t="inlineStr">
        <is>
          <t>LLM genérico</t>
        </is>
      </c>
      <c r="C52" s="9">
        <f>INDEX(Perguntas!$B$2:$B$26,MATCH(A52,Perguntas!$A$2:$A$26,0))</f>
        <v/>
      </c>
      <c r="D52" s="9">
        <f>INDEX(Perguntas!$C$2:$C$26,MATCH(A52,Perguntas!$A$2:$A$26,0))</f>
        <v/>
      </c>
      <c r="E52" s="8" t="n"/>
      <c r="F52" s="8" t="n"/>
      <c r="G52" s="8" t="n"/>
      <c r="H52" s="8" t="n"/>
      <c r="I52" s="8" t="n"/>
      <c r="J52" s="8" t="n"/>
      <c r="K52" s="8" t="n"/>
      <c r="L52" s="10">
        <f>IF(COUNT(J52:K52)=2,(J52*Parametros!$B$3+K52*Parametros!$B$4)/1000000*Parametros!$B$5,"")</f>
        <v/>
      </c>
      <c r="M52" s="8" t="n"/>
      <c r="N52" s="8" t="n"/>
      <c r="O52" s="8" t="n"/>
      <c r="P52" s="8" t="n"/>
      <c r="Q52" s="8" t="n"/>
      <c r="R52" s="9">
        <f>IF(COUNT(M52:Q52)=5,SUM(M52:Q52),"")</f>
        <v/>
      </c>
      <c r="S52" s="8" t="n"/>
      <c r="T52" s="8" t="n"/>
      <c r="U52" s="8" t="n"/>
      <c r="V52" s="11">
        <f>IF(AND(ISNUMBER(T52),T52&gt;0),U52/T52,"")</f>
        <v/>
      </c>
      <c r="W52" s="8" t="n"/>
      <c r="X52" s="8" t="n"/>
    </row>
    <row r="53">
      <c r="A53" s="7" t="n">
        <v>2</v>
      </c>
      <c r="B53" s="7" t="inlineStr">
        <is>
          <t>LLM genérico</t>
        </is>
      </c>
      <c r="C53" s="9">
        <f>INDEX(Perguntas!$B$2:$B$26,MATCH(A53,Perguntas!$A$2:$A$26,0))</f>
        <v/>
      </c>
      <c r="D53" s="9">
        <f>INDEX(Perguntas!$C$2:$C$26,MATCH(A53,Perguntas!$A$2:$A$26,0))</f>
        <v/>
      </c>
      <c r="E53" s="8" t="n"/>
      <c r="F53" s="8" t="n"/>
      <c r="G53" s="8" t="n"/>
      <c r="H53" s="8" t="n"/>
      <c r="I53" s="8" t="n"/>
      <c r="J53" s="8" t="n"/>
      <c r="K53" s="8" t="n"/>
      <c r="L53" s="10">
        <f>IF(COUNT(J53:K53)=2,(J53*Parametros!$B$3+K53*Parametros!$B$4)/1000000*Parametros!$B$5,"")</f>
        <v/>
      </c>
      <c r="M53" s="8" t="n"/>
      <c r="N53" s="8" t="n"/>
      <c r="O53" s="8" t="n"/>
      <c r="P53" s="8" t="n"/>
      <c r="Q53" s="8" t="n"/>
      <c r="R53" s="9">
        <f>IF(COUNT(M53:Q53)=5,SUM(M53:Q53),"")</f>
        <v/>
      </c>
      <c r="S53" s="8" t="n"/>
      <c r="T53" s="8" t="n"/>
      <c r="U53" s="8" t="n"/>
      <c r="V53" s="11">
        <f>IF(AND(ISNUMBER(T53),T53&gt;0),U53/T53,"")</f>
        <v/>
      </c>
      <c r="W53" s="8" t="n"/>
      <c r="X53" s="8" t="n"/>
    </row>
    <row r="54">
      <c r="A54" s="7" t="n">
        <v>3</v>
      </c>
      <c r="B54" s="7" t="inlineStr">
        <is>
          <t>LLM genérico</t>
        </is>
      </c>
      <c r="C54" s="9">
        <f>INDEX(Perguntas!$B$2:$B$26,MATCH(A54,Perguntas!$A$2:$A$26,0))</f>
        <v/>
      </c>
      <c r="D54" s="9">
        <f>INDEX(Perguntas!$C$2:$C$26,MATCH(A54,Perguntas!$A$2:$A$26,0))</f>
        <v/>
      </c>
      <c r="E54" s="8" t="n"/>
      <c r="F54" s="8" t="n"/>
      <c r="G54" s="8" t="n"/>
      <c r="H54" s="8" t="n"/>
      <c r="I54" s="8" t="n"/>
      <c r="J54" s="8" t="n"/>
      <c r="K54" s="8" t="n"/>
      <c r="L54" s="10">
        <f>IF(COUNT(J54:K54)=2,(J54*Parametros!$B$3+K54*Parametros!$B$4)/1000000*Parametros!$B$5,"")</f>
        <v/>
      </c>
      <c r="M54" s="8" t="n"/>
      <c r="N54" s="8" t="n"/>
      <c r="O54" s="8" t="n"/>
      <c r="P54" s="8" t="n"/>
      <c r="Q54" s="8" t="n"/>
      <c r="R54" s="9">
        <f>IF(COUNT(M54:Q54)=5,SUM(M54:Q54),"")</f>
        <v/>
      </c>
      <c r="S54" s="8" t="n"/>
      <c r="T54" s="8" t="n"/>
      <c r="U54" s="8" t="n"/>
      <c r="V54" s="11">
        <f>IF(AND(ISNUMBER(T54),T54&gt;0),U54/T54,"")</f>
        <v/>
      </c>
      <c r="W54" s="8" t="n"/>
      <c r="X54" s="8" t="n"/>
    </row>
    <row r="55">
      <c r="A55" s="7" t="n">
        <v>4</v>
      </c>
      <c r="B55" s="7" t="inlineStr">
        <is>
          <t>LLM genérico</t>
        </is>
      </c>
      <c r="C55" s="9">
        <f>INDEX(Perguntas!$B$2:$B$26,MATCH(A55,Perguntas!$A$2:$A$26,0))</f>
        <v/>
      </c>
      <c r="D55" s="9">
        <f>INDEX(Perguntas!$C$2:$C$26,MATCH(A55,Perguntas!$A$2:$A$26,0))</f>
        <v/>
      </c>
      <c r="E55" s="8" t="n"/>
      <c r="F55" s="8" t="n"/>
      <c r="G55" s="8" t="n"/>
      <c r="H55" s="8" t="n"/>
      <c r="I55" s="8" t="n"/>
      <c r="J55" s="8" t="n"/>
      <c r="K55" s="8" t="n"/>
      <c r="L55" s="10">
        <f>IF(COUNT(J55:K55)=2,(J55*Parametros!$B$3+K55*Parametros!$B$4)/1000000*Parametros!$B$5,"")</f>
        <v/>
      </c>
      <c r="M55" s="8" t="n"/>
      <c r="N55" s="8" t="n"/>
      <c r="O55" s="8" t="n"/>
      <c r="P55" s="8" t="n"/>
      <c r="Q55" s="8" t="n"/>
      <c r="R55" s="9">
        <f>IF(COUNT(M55:Q55)=5,SUM(M55:Q55),"")</f>
        <v/>
      </c>
      <c r="S55" s="8" t="n"/>
      <c r="T55" s="8" t="n"/>
      <c r="U55" s="8" t="n"/>
      <c r="V55" s="11">
        <f>IF(AND(ISNUMBER(T55),T55&gt;0),U55/T55,"")</f>
        <v/>
      </c>
      <c r="W55" s="8" t="n"/>
      <c r="X55" s="8" t="n"/>
    </row>
    <row r="56">
      <c r="A56" s="7" t="n">
        <v>5</v>
      </c>
      <c r="B56" s="7" t="inlineStr">
        <is>
          <t>LLM genérico</t>
        </is>
      </c>
      <c r="C56" s="9">
        <f>INDEX(Perguntas!$B$2:$B$26,MATCH(A56,Perguntas!$A$2:$A$26,0))</f>
        <v/>
      </c>
      <c r="D56" s="9">
        <f>INDEX(Perguntas!$C$2:$C$26,MATCH(A56,Perguntas!$A$2:$A$26,0))</f>
        <v/>
      </c>
      <c r="E56" s="8" t="n"/>
      <c r="F56" s="8" t="n"/>
      <c r="G56" s="8" t="n"/>
      <c r="H56" s="8" t="n"/>
      <c r="I56" s="8" t="n"/>
      <c r="J56" s="8" t="n"/>
      <c r="K56" s="8" t="n"/>
      <c r="L56" s="10">
        <f>IF(COUNT(J56:K56)=2,(J56*Parametros!$B$3+K56*Parametros!$B$4)/1000000*Parametros!$B$5,"")</f>
        <v/>
      </c>
      <c r="M56" s="8" t="n"/>
      <c r="N56" s="8" t="n"/>
      <c r="O56" s="8" t="n"/>
      <c r="P56" s="8" t="n"/>
      <c r="Q56" s="8" t="n"/>
      <c r="R56" s="9">
        <f>IF(COUNT(M56:Q56)=5,SUM(M56:Q56),"")</f>
        <v/>
      </c>
      <c r="S56" s="8" t="n"/>
      <c r="T56" s="8" t="n"/>
      <c r="U56" s="8" t="n"/>
      <c r="V56" s="11">
        <f>IF(AND(ISNUMBER(T56),T56&gt;0),U56/T56,"")</f>
        <v/>
      </c>
      <c r="W56" s="8" t="n"/>
      <c r="X56" s="8" t="n"/>
    </row>
    <row r="57">
      <c r="A57" s="7" t="n">
        <v>6</v>
      </c>
      <c r="B57" s="7" t="inlineStr">
        <is>
          <t>LLM genérico</t>
        </is>
      </c>
      <c r="C57" s="9">
        <f>INDEX(Perguntas!$B$2:$B$26,MATCH(A57,Perguntas!$A$2:$A$26,0))</f>
        <v/>
      </c>
      <c r="D57" s="9">
        <f>INDEX(Perguntas!$C$2:$C$26,MATCH(A57,Perguntas!$A$2:$A$26,0))</f>
        <v/>
      </c>
      <c r="E57" s="8" t="n"/>
      <c r="F57" s="8" t="n"/>
      <c r="G57" s="8" t="n"/>
      <c r="H57" s="8" t="n"/>
      <c r="I57" s="8" t="n"/>
      <c r="J57" s="8" t="n"/>
      <c r="K57" s="8" t="n"/>
      <c r="L57" s="10">
        <f>IF(COUNT(J57:K57)=2,(J57*Parametros!$B$3+K57*Parametros!$B$4)/1000000*Parametros!$B$5,"")</f>
        <v/>
      </c>
      <c r="M57" s="8" t="n"/>
      <c r="N57" s="8" t="n"/>
      <c r="O57" s="8" t="n"/>
      <c r="P57" s="8" t="n"/>
      <c r="Q57" s="8" t="n"/>
      <c r="R57" s="9">
        <f>IF(COUNT(M57:Q57)=5,SUM(M57:Q57),"")</f>
        <v/>
      </c>
      <c r="S57" s="8" t="n"/>
      <c r="T57" s="8" t="n"/>
      <c r="U57" s="8" t="n"/>
      <c r="V57" s="11">
        <f>IF(AND(ISNUMBER(T57),T57&gt;0),U57/T57,"")</f>
        <v/>
      </c>
      <c r="W57" s="8" t="n"/>
      <c r="X57" s="8" t="n"/>
    </row>
    <row r="58">
      <c r="A58" s="7" t="n">
        <v>7</v>
      </c>
      <c r="B58" s="7" t="inlineStr">
        <is>
          <t>LLM genérico</t>
        </is>
      </c>
      <c r="C58" s="9">
        <f>INDEX(Perguntas!$B$2:$B$26,MATCH(A58,Perguntas!$A$2:$A$26,0))</f>
        <v/>
      </c>
      <c r="D58" s="9">
        <f>INDEX(Perguntas!$C$2:$C$26,MATCH(A58,Perguntas!$A$2:$A$26,0))</f>
        <v/>
      </c>
      <c r="E58" s="8" t="n"/>
      <c r="F58" s="8" t="n"/>
      <c r="G58" s="8" t="n"/>
      <c r="H58" s="8" t="n"/>
      <c r="I58" s="8" t="n"/>
      <c r="J58" s="8" t="n"/>
      <c r="K58" s="8" t="n"/>
      <c r="L58" s="10">
        <f>IF(COUNT(J58:K58)=2,(J58*Parametros!$B$3+K58*Parametros!$B$4)/1000000*Parametros!$B$5,"")</f>
        <v/>
      </c>
      <c r="M58" s="8" t="n"/>
      <c r="N58" s="8" t="n"/>
      <c r="O58" s="8" t="n"/>
      <c r="P58" s="8" t="n"/>
      <c r="Q58" s="8" t="n"/>
      <c r="R58" s="9">
        <f>IF(COUNT(M58:Q58)=5,SUM(M58:Q58),"")</f>
        <v/>
      </c>
      <c r="S58" s="8" t="n"/>
      <c r="T58" s="8" t="n"/>
      <c r="U58" s="8" t="n"/>
      <c r="V58" s="11">
        <f>IF(AND(ISNUMBER(T58),T58&gt;0),U58/T58,"")</f>
        <v/>
      </c>
      <c r="W58" s="8" t="n"/>
      <c r="X58" s="8" t="n"/>
    </row>
    <row r="59">
      <c r="A59" s="7" t="n">
        <v>8</v>
      </c>
      <c r="B59" s="7" t="inlineStr">
        <is>
          <t>LLM genérico</t>
        </is>
      </c>
      <c r="C59" s="9">
        <f>INDEX(Perguntas!$B$2:$B$26,MATCH(A59,Perguntas!$A$2:$A$26,0))</f>
        <v/>
      </c>
      <c r="D59" s="9">
        <f>INDEX(Perguntas!$C$2:$C$26,MATCH(A59,Perguntas!$A$2:$A$26,0))</f>
        <v/>
      </c>
      <c r="E59" s="8" t="n"/>
      <c r="F59" s="8" t="n"/>
      <c r="G59" s="8" t="n"/>
      <c r="H59" s="8" t="n"/>
      <c r="I59" s="8" t="n"/>
      <c r="J59" s="8" t="n"/>
      <c r="K59" s="8" t="n"/>
      <c r="L59" s="10">
        <f>IF(COUNT(J59:K59)=2,(J59*Parametros!$B$3+K59*Parametros!$B$4)/1000000*Parametros!$B$5,"")</f>
        <v/>
      </c>
      <c r="M59" s="8" t="n"/>
      <c r="N59" s="8" t="n"/>
      <c r="O59" s="8" t="n"/>
      <c r="P59" s="8" t="n"/>
      <c r="Q59" s="8" t="n"/>
      <c r="R59" s="9">
        <f>IF(COUNT(M59:Q59)=5,SUM(M59:Q59),"")</f>
        <v/>
      </c>
      <c r="S59" s="8" t="n"/>
      <c r="T59" s="8" t="n"/>
      <c r="U59" s="8" t="n"/>
      <c r="V59" s="11">
        <f>IF(AND(ISNUMBER(T59),T59&gt;0),U59/T59,"")</f>
        <v/>
      </c>
      <c r="W59" s="8" t="n"/>
      <c r="X59" s="8" t="n"/>
    </row>
    <row r="60">
      <c r="A60" s="7" t="n">
        <v>9</v>
      </c>
      <c r="B60" s="7" t="inlineStr">
        <is>
          <t>LLM genérico</t>
        </is>
      </c>
      <c r="C60" s="9">
        <f>INDEX(Perguntas!$B$2:$B$26,MATCH(A60,Perguntas!$A$2:$A$26,0))</f>
        <v/>
      </c>
      <c r="D60" s="9">
        <f>INDEX(Perguntas!$C$2:$C$26,MATCH(A60,Perguntas!$A$2:$A$26,0))</f>
        <v/>
      </c>
      <c r="E60" s="8" t="n"/>
      <c r="F60" s="8" t="n"/>
      <c r="G60" s="8" t="n"/>
      <c r="H60" s="8" t="n"/>
      <c r="I60" s="8" t="n"/>
      <c r="J60" s="8" t="n"/>
      <c r="K60" s="8" t="n"/>
      <c r="L60" s="10">
        <f>IF(COUNT(J60:K60)=2,(J60*Parametros!$B$3+K60*Parametros!$B$4)/1000000*Parametros!$B$5,"")</f>
        <v/>
      </c>
      <c r="M60" s="8" t="n"/>
      <c r="N60" s="8" t="n"/>
      <c r="O60" s="8" t="n"/>
      <c r="P60" s="8" t="n"/>
      <c r="Q60" s="8" t="n"/>
      <c r="R60" s="9">
        <f>IF(COUNT(M60:Q60)=5,SUM(M60:Q60),"")</f>
        <v/>
      </c>
      <c r="S60" s="8" t="n"/>
      <c r="T60" s="8" t="n"/>
      <c r="U60" s="8" t="n"/>
      <c r="V60" s="11">
        <f>IF(AND(ISNUMBER(T60),T60&gt;0),U60/T60,"")</f>
        <v/>
      </c>
      <c r="W60" s="8" t="n"/>
      <c r="X60" s="8" t="n"/>
    </row>
    <row r="61">
      <c r="A61" s="7" t="n">
        <v>10</v>
      </c>
      <c r="B61" s="7" t="inlineStr">
        <is>
          <t>LLM genérico</t>
        </is>
      </c>
      <c r="C61" s="9">
        <f>INDEX(Perguntas!$B$2:$B$26,MATCH(A61,Perguntas!$A$2:$A$26,0))</f>
        <v/>
      </c>
      <c r="D61" s="9">
        <f>INDEX(Perguntas!$C$2:$C$26,MATCH(A61,Perguntas!$A$2:$A$26,0))</f>
        <v/>
      </c>
      <c r="E61" s="8" t="n"/>
      <c r="F61" s="8" t="n"/>
      <c r="G61" s="8" t="n"/>
      <c r="H61" s="8" t="n"/>
      <c r="I61" s="8" t="n"/>
      <c r="J61" s="8" t="n"/>
      <c r="K61" s="8" t="n"/>
      <c r="L61" s="10">
        <f>IF(COUNT(J61:K61)=2,(J61*Parametros!$B$3+K61*Parametros!$B$4)/1000000*Parametros!$B$5,"")</f>
        <v/>
      </c>
      <c r="M61" s="8" t="n"/>
      <c r="N61" s="8" t="n"/>
      <c r="O61" s="8" t="n"/>
      <c r="P61" s="8" t="n"/>
      <c r="Q61" s="8" t="n"/>
      <c r="R61" s="9">
        <f>IF(COUNT(M61:Q61)=5,SUM(M61:Q61),"")</f>
        <v/>
      </c>
      <c r="S61" s="8" t="n"/>
      <c r="T61" s="8" t="n"/>
      <c r="U61" s="8" t="n"/>
      <c r="V61" s="11">
        <f>IF(AND(ISNUMBER(T61),T61&gt;0),U61/T61,"")</f>
        <v/>
      </c>
      <c r="W61" s="8" t="n"/>
      <c r="X61" s="8" t="n"/>
    </row>
    <row r="62">
      <c r="A62" s="7" t="n">
        <v>11</v>
      </c>
      <c r="B62" s="7" t="inlineStr">
        <is>
          <t>LLM genérico</t>
        </is>
      </c>
      <c r="C62" s="9">
        <f>INDEX(Perguntas!$B$2:$B$26,MATCH(A62,Perguntas!$A$2:$A$26,0))</f>
        <v/>
      </c>
      <c r="D62" s="9">
        <f>INDEX(Perguntas!$C$2:$C$26,MATCH(A62,Perguntas!$A$2:$A$26,0))</f>
        <v/>
      </c>
      <c r="E62" s="8" t="n"/>
      <c r="F62" s="8" t="n"/>
      <c r="G62" s="8" t="n"/>
      <c r="H62" s="8" t="n"/>
      <c r="I62" s="8" t="n"/>
      <c r="J62" s="8" t="n"/>
      <c r="K62" s="8" t="n"/>
      <c r="L62" s="10">
        <f>IF(COUNT(J62:K62)=2,(J62*Parametros!$B$3+K62*Parametros!$B$4)/1000000*Parametros!$B$5,"")</f>
        <v/>
      </c>
      <c r="M62" s="8" t="n"/>
      <c r="N62" s="8" t="n"/>
      <c r="O62" s="8" t="n"/>
      <c r="P62" s="8" t="n"/>
      <c r="Q62" s="8" t="n"/>
      <c r="R62" s="9">
        <f>IF(COUNT(M62:Q62)=5,SUM(M62:Q62),"")</f>
        <v/>
      </c>
      <c r="S62" s="8" t="n"/>
      <c r="T62" s="8" t="n"/>
      <c r="U62" s="8" t="n"/>
      <c r="V62" s="11">
        <f>IF(AND(ISNUMBER(T62),T62&gt;0),U62/T62,"")</f>
        <v/>
      </c>
      <c r="W62" s="8" t="n"/>
      <c r="X62" s="8" t="n"/>
    </row>
    <row r="63">
      <c r="A63" s="7" t="n">
        <v>12</v>
      </c>
      <c r="B63" s="7" t="inlineStr">
        <is>
          <t>LLM genérico</t>
        </is>
      </c>
      <c r="C63" s="9">
        <f>INDEX(Perguntas!$B$2:$B$26,MATCH(A63,Perguntas!$A$2:$A$26,0))</f>
        <v/>
      </c>
      <c r="D63" s="9">
        <f>INDEX(Perguntas!$C$2:$C$26,MATCH(A63,Perguntas!$A$2:$A$26,0))</f>
        <v/>
      </c>
      <c r="E63" s="8" t="n"/>
      <c r="F63" s="8" t="n"/>
      <c r="G63" s="8" t="n"/>
      <c r="H63" s="8" t="n"/>
      <c r="I63" s="8" t="n"/>
      <c r="J63" s="8" t="n"/>
      <c r="K63" s="8" t="n"/>
      <c r="L63" s="10">
        <f>IF(COUNT(J63:K63)=2,(J63*Parametros!$B$3+K63*Parametros!$B$4)/1000000*Parametros!$B$5,"")</f>
        <v/>
      </c>
      <c r="M63" s="8" t="n"/>
      <c r="N63" s="8" t="n"/>
      <c r="O63" s="8" t="n"/>
      <c r="P63" s="8" t="n"/>
      <c r="Q63" s="8" t="n"/>
      <c r="R63" s="9">
        <f>IF(COUNT(M63:Q63)=5,SUM(M63:Q63),"")</f>
        <v/>
      </c>
      <c r="S63" s="8" t="n"/>
      <c r="T63" s="8" t="n"/>
      <c r="U63" s="8" t="n"/>
      <c r="V63" s="11">
        <f>IF(AND(ISNUMBER(T63),T63&gt;0),U63/T63,"")</f>
        <v/>
      </c>
      <c r="W63" s="8" t="n"/>
      <c r="X63" s="8" t="n"/>
    </row>
    <row r="64">
      <c r="A64" s="7" t="n">
        <v>13</v>
      </c>
      <c r="B64" s="7" t="inlineStr">
        <is>
          <t>LLM genérico</t>
        </is>
      </c>
      <c r="C64" s="9">
        <f>INDEX(Perguntas!$B$2:$B$26,MATCH(A64,Perguntas!$A$2:$A$26,0))</f>
        <v/>
      </c>
      <c r="D64" s="9">
        <f>INDEX(Perguntas!$C$2:$C$26,MATCH(A64,Perguntas!$A$2:$A$26,0))</f>
        <v/>
      </c>
      <c r="E64" s="8" t="n"/>
      <c r="F64" s="8" t="n"/>
      <c r="G64" s="8" t="n"/>
      <c r="H64" s="8" t="n"/>
      <c r="I64" s="8" t="n"/>
      <c r="J64" s="8" t="n"/>
      <c r="K64" s="8" t="n"/>
      <c r="L64" s="10">
        <f>IF(COUNT(J64:K64)=2,(J64*Parametros!$B$3+K64*Parametros!$B$4)/1000000*Parametros!$B$5,"")</f>
        <v/>
      </c>
      <c r="M64" s="8" t="n"/>
      <c r="N64" s="8" t="n"/>
      <c r="O64" s="8" t="n"/>
      <c r="P64" s="8" t="n"/>
      <c r="Q64" s="8" t="n"/>
      <c r="R64" s="9">
        <f>IF(COUNT(M64:Q64)=5,SUM(M64:Q64),"")</f>
        <v/>
      </c>
      <c r="S64" s="8" t="n"/>
      <c r="T64" s="8" t="n"/>
      <c r="U64" s="8" t="n"/>
      <c r="V64" s="11">
        <f>IF(AND(ISNUMBER(T64),T64&gt;0),U64/T64,"")</f>
        <v/>
      </c>
      <c r="W64" s="8" t="n"/>
      <c r="X64" s="8" t="n"/>
    </row>
    <row r="65">
      <c r="A65" s="7" t="n">
        <v>14</v>
      </c>
      <c r="B65" s="7" t="inlineStr">
        <is>
          <t>LLM genérico</t>
        </is>
      </c>
      <c r="C65" s="9">
        <f>INDEX(Perguntas!$B$2:$B$26,MATCH(A65,Perguntas!$A$2:$A$26,0))</f>
        <v/>
      </c>
      <c r="D65" s="9">
        <f>INDEX(Perguntas!$C$2:$C$26,MATCH(A65,Perguntas!$A$2:$A$26,0))</f>
        <v/>
      </c>
      <c r="E65" s="8" t="n"/>
      <c r="F65" s="8" t="n"/>
      <c r="G65" s="8" t="n"/>
      <c r="H65" s="8" t="n"/>
      <c r="I65" s="8" t="n"/>
      <c r="J65" s="8" t="n"/>
      <c r="K65" s="8" t="n"/>
      <c r="L65" s="10">
        <f>IF(COUNT(J65:K65)=2,(J65*Parametros!$B$3+K65*Parametros!$B$4)/1000000*Parametros!$B$5,"")</f>
        <v/>
      </c>
      <c r="M65" s="8" t="n"/>
      <c r="N65" s="8" t="n"/>
      <c r="O65" s="8" t="n"/>
      <c r="P65" s="8" t="n"/>
      <c r="Q65" s="8" t="n"/>
      <c r="R65" s="9">
        <f>IF(COUNT(M65:Q65)=5,SUM(M65:Q65),"")</f>
        <v/>
      </c>
      <c r="S65" s="8" t="n"/>
      <c r="T65" s="8" t="n"/>
      <c r="U65" s="8" t="n"/>
      <c r="V65" s="11">
        <f>IF(AND(ISNUMBER(T65),T65&gt;0),U65/T65,"")</f>
        <v/>
      </c>
      <c r="W65" s="8" t="n"/>
      <c r="X65" s="8" t="n"/>
    </row>
    <row r="66">
      <c r="A66" s="7" t="n">
        <v>15</v>
      </c>
      <c r="B66" s="7" t="inlineStr">
        <is>
          <t>LLM genérico</t>
        </is>
      </c>
      <c r="C66" s="9">
        <f>INDEX(Perguntas!$B$2:$B$26,MATCH(A66,Perguntas!$A$2:$A$26,0))</f>
        <v/>
      </c>
      <c r="D66" s="9">
        <f>INDEX(Perguntas!$C$2:$C$26,MATCH(A66,Perguntas!$A$2:$A$26,0))</f>
        <v/>
      </c>
      <c r="E66" s="8" t="n"/>
      <c r="F66" s="8" t="n"/>
      <c r="G66" s="8" t="n"/>
      <c r="H66" s="8" t="n"/>
      <c r="I66" s="8" t="n"/>
      <c r="J66" s="8" t="n"/>
      <c r="K66" s="8" t="n"/>
      <c r="L66" s="10">
        <f>IF(COUNT(J66:K66)=2,(J66*Parametros!$B$3+K66*Parametros!$B$4)/1000000*Parametros!$B$5,"")</f>
        <v/>
      </c>
      <c r="M66" s="8" t="n"/>
      <c r="N66" s="8" t="n"/>
      <c r="O66" s="8" t="n"/>
      <c r="P66" s="8" t="n"/>
      <c r="Q66" s="8" t="n"/>
      <c r="R66" s="9">
        <f>IF(COUNT(M66:Q66)=5,SUM(M66:Q66),"")</f>
        <v/>
      </c>
      <c r="S66" s="8" t="n"/>
      <c r="T66" s="8" t="n"/>
      <c r="U66" s="8" t="n"/>
      <c r="V66" s="11">
        <f>IF(AND(ISNUMBER(T66),T66&gt;0),U66/T66,"")</f>
        <v/>
      </c>
      <c r="W66" s="8" t="n"/>
      <c r="X66" s="8" t="n"/>
    </row>
    <row r="67">
      <c r="A67" s="7" t="n">
        <v>16</v>
      </c>
      <c r="B67" s="7" t="inlineStr">
        <is>
          <t>LLM genérico</t>
        </is>
      </c>
      <c r="C67" s="9">
        <f>INDEX(Perguntas!$B$2:$B$26,MATCH(A67,Perguntas!$A$2:$A$26,0))</f>
        <v/>
      </c>
      <c r="D67" s="9">
        <f>INDEX(Perguntas!$C$2:$C$26,MATCH(A67,Perguntas!$A$2:$A$26,0))</f>
        <v/>
      </c>
      <c r="E67" s="8" t="n"/>
      <c r="F67" s="8" t="n"/>
      <c r="G67" s="8" t="n"/>
      <c r="H67" s="8" t="n"/>
      <c r="I67" s="8" t="n"/>
      <c r="J67" s="8" t="n"/>
      <c r="K67" s="8" t="n"/>
      <c r="L67" s="10">
        <f>IF(COUNT(J67:K67)=2,(J67*Parametros!$B$3+K67*Parametros!$B$4)/1000000*Parametros!$B$5,"")</f>
        <v/>
      </c>
      <c r="M67" s="8" t="n"/>
      <c r="N67" s="8" t="n"/>
      <c r="O67" s="8" t="n"/>
      <c r="P67" s="8" t="n"/>
      <c r="Q67" s="8" t="n"/>
      <c r="R67" s="9">
        <f>IF(COUNT(M67:Q67)=5,SUM(M67:Q67),"")</f>
        <v/>
      </c>
      <c r="S67" s="8" t="n"/>
      <c r="T67" s="8" t="n"/>
      <c r="U67" s="8" t="n"/>
      <c r="V67" s="11">
        <f>IF(AND(ISNUMBER(T67),T67&gt;0),U67/T67,"")</f>
        <v/>
      </c>
      <c r="W67" s="8" t="n"/>
      <c r="X67" s="8" t="n"/>
    </row>
    <row r="68">
      <c r="A68" s="7" t="n">
        <v>17</v>
      </c>
      <c r="B68" s="7" t="inlineStr">
        <is>
          <t>LLM genérico</t>
        </is>
      </c>
      <c r="C68" s="9">
        <f>INDEX(Perguntas!$B$2:$B$26,MATCH(A68,Perguntas!$A$2:$A$26,0))</f>
        <v/>
      </c>
      <c r="D68" s="9">
        <f>INDEX(Perguntas!$C$2:$C$26,MATCH(A68,Perguntas!$A$2:$A$26,0))</f>
        <v/>
      </c>
      <c r="E68" s="8" t="n"/>
      <c r="F68" s="8" t="n"/>
      <c r="G68" s="8" t="n"/>
      <c r="H68" s="8" t="n"/>
      <c r="I68" s="8" t="n"/>
      <c r="J68" s="8" t="n"/>
      <c r="K68" s="8" t="n"/>
      <c r="L68" s="10">
        <f>IF(COUNT(J68:K68)=2,(J68*Parametros!$B$3+K68*Parametros!$B$4)/1000000*Parametros!$B$5,"")</f>
        <v/>
      </c>
      <c r="M68" s="8" t="n"/>
      <c r="N68" s="8" t="n"/>
      <c r="O68" s="8" t="n"/>
      <c r="P68" s="8" t="n"/>
      <c r="Q68" s="8" t="n"/>
      <c r="R68" s="9">
        <f>IF(COUNT(M68:Q68)=5,SUM(M68:Q68),"")</f>
        <v/>
      </c>
      <c r="S68" s="8" t="n"/>
      <c r="T68" s="8" t="n"/>
      <c r="U68" s="8" t="n"/>
      <c r="V68" s="11">
        <f>IF(AND(ISNUMBER(T68),T68&gt;0),U68/T68,"")</f>
        <v/>
      </c>
      <c r="W68" s="8" t="n"/>
      <c r="X68" s="8" t="n"/>
    </row>
    <row r="69">
      <c r="A69" s="7" t="n">
        <v>18</v>
      </c>
      <c r="B69" s="7" t="inlineStr">
        <is>
          <t>LLM genérico</t>
        </is>
      </c>
      <c r="C69" s="9">
        <f>INDEX(Perguntas!$B$2:$B$26,MATCH(A69,Perguntas!$A$2:$A$26,0))</f>
        <v/>
      </c>
      <c r="D69" s="9">
        <f>INDEX(Perguntas!$C$2:$C$26,MATCH(A69,Perguntas!$A$2:$A$26,0))</f>
        <v/>
      </c>
      <c r="E69" s="8" t="n"/>
      <c r="F69" s="8" t="n"/>
      <c r="G69" s="8" t="n"/>
      <c r="H69" s="8" t="n"/>
      <c r="I69" s="8" t="n"/>
      <c r="J69" s="8" t="n"/>
      <c r="K69" s="8" t="n"/>
      <c r="L69" s="10">
        <f>IF(COUNT(J69:K69)=2,(J69*Parametros!$B$3+K69*Parametros!$B$4)/1000000*Parametros!$B$5,"")</f>
        <v/>
      </c>
      <c r="M69" s="8" t="n"/>
      <c r="N69" s="8" t="n"/>
      <c r="O69" s="8" t="n"/>
      <c r="P69" s="8" t="n"/>
      <c r="Q69" s="8" t="n"/>
      <c r="R69" s="9">
        <f>IF(COUNT(M69:Q69)=5,SUM(M69:Q69),"")</f>
        <v/>
      </c>
      <c r="S69" s="8" t="n"/>
      <c r="T69" s="8" t="n"/>
      <c r="U69" s="8" t="n"/>
      <c r="V69" s="11">
        <f>IF(AND(ISNUMBER(T69),T69&gt;0),U69/T69,"")</f>
        <v/>
      </c>
      <c r="W69" s="8" t="n"/>
      <c r="X69" s="8" t="n"/>
    </row>
    <row r="70">
      <c r="A70" s="7" t="n">
        <v>19</v>
      </c>
      <c r="B70" s="7" t="inlineStr">
        <is>
          <t>LLM genérico</t>
        </is>
      </c>
      <c r="C70" s="9">
        <f>INDEX(Perguntas!$B$2:$B$26,MATCH(A70,Perguntas!$A$2:$A$26,0))</f>
        <v/>
      </c>
      <c r="D70" s="9">
        <f>INDEX(Perguntas!$C$2:$C$26,MATCH(A70,Perguntas!$A$2:$A$26,0))</f>
        <v/>
      </c>
      <c r="E70" s="8" t="n"/>
      <c r="F70" s="8" t="n"/>
      <c r="G70" s="8" t="n"/>
      <c r="H70" s="8" t="n"/>
      <c r="I70" s="8" t="n"/>
      <c r="J70" s="8" t="n"/>
      <c r="K70" s="8" t="n"/>
      <c r="L70" s="10">
        <f>IF(COUNT(J70:K70)=2,(J70*Parametros!$B$3+K70*Parametros!$B$4)/1000000*Parametros!$B$5,"")</f>
        <v/>
      </c>
      <c r="M70" s="8" t="n"/>
      <c r="N70" s="8" t="n"/>
      <c r="O70" s="8" t="n"/>
      <c r="P70" s="8" t="n"/>
      <c r="Q70" s="8" t="n"/>
      <c r="R70" s="9">
        <f>IF(COUNT(M70:Q70)=5,SUM(M70:Q70),"")</f>
        <v/>
      </c>
      <c r="S70" s="8" t="n"/>
      <c r="T70" s="8" t="n"/>
      <c r="U70" s="8" t="n"/>
      <c r="V70" s="11">
        <f>IF(AND(ISNUMBER(T70),T70&gt;0),U70/T70,"")</f>
        <v/>
      </c>
      <c r="W70" s="8" t="n"/>
      <c r="X70" s="8" t="n"/>
    </row>
    <row r="71">
      <c r="A71" s="7" t="n">
        <v>20</v>
      </c>
      <c r="B71" s="7" t="inlineStr">
        <is>
          <t>LLM genérico</t>
        </is>
      </c>
      <c r="C71" s="9">
        <f>INDEX(Perguntas!$B$2:$B$26,MATCH(A71,Perguntas!$A$2:$A$26,0))</f>
        <v/>
      </c>
      <c r="D71" s="9">
        <f>INDEX(Perguntas!$C$2:$C$26,MATCH(A71,Perguntas!$A$2:$A$26,0))</f>
        <v/>
      </c>
      <c r="E71" s="8" t="n"/>
      <c r="F71" s="8" t="n"/>
      <c r="G71" s="8" t="n"/>
      <c r="H71" s="8" t="n"/>
      <c r="I71" s="8" t="n"/>
      <c r="J71" s="8" t="n"/>
      <c r="K71" s="8" t="n"/>
      <c r="L71" s="10">
        <f>IF(COUNT(J71:K71)=2,(J71*Parametros!$B$3+K71*Parametros!$B$4)/1000000*Parametros!$B$5,"")</f>
        <v/>
      </c>
      <c r="M71" s="8" t="n"/>
      <c r="N71" s="8" t="n"/>
      <c r="O71" s="8" t="n"/>
      <c r="P71" s="8" t="n"/>
      <c r="Q71" s="8" t="n"/>
      <c r="R71" s="9">
        <f>IF(COUNT(M71:Q71)=5,SUM(M71:Q71),"")</f>
        <v/>
      </c>
      <c r="S71" s="8" t="n"/>
      <c r="T71" s="8" t="n"/>
      <c r="U71" s="8" t="n"/>
      <c r="V71" s="11">
        <f>IF(AND(ISNUMBER(T71),T71&gt;0),U71/T71,"")</f>
        <v/>
      </c>
      <c r="W71" s="8" t="n"/>
      <c r="X71" s="8" t="n"/>
    </row>
    <row r="72">
      <c r="A72" s="7" t="n">
        <v>21</v>
      </c>
      <c r="B72" s="7" t="inlineStr">
        <is>
          <t>LLM genérico</t>
        </is>
      </c>
      <c r="C72" s="9">
        <f>INDEX(Perguntas!$B$2:$B$26,MATCH(A72,Perguntas!$A$2:$A$26,0))</f>
        <v/>
      </c>
      <c r="D72" s="9">
        <f>INDEX(Perguntas!$C$2:$C$26,MATCH(A72,Perguntas!$A$2:$A$26,0))</f>
        <v/>
      </c>
      <c r="E72" s="8" t="n"/>
      <c r="F72" s="8" t="n"/>
      <c r="G72" s="8" t="n"/>
      <c r="H72" s="8" t="n"/>
      <c r="I72" s="8" t="n"/>
      <c r="J72" s="8" t="n"/>
      <c r="K72" s="8" t="n"/>
      <c r="L72" s="10">
        <f>IF(COUNT(J72:K72)=2,(J72*Parametros!$B$3+K72*Parametros!$B$4)/1000000*Parametros!$B$5,"")</f>
        <v/>
      </c>
      <c r="M72" s="8" t="n"/>
      <c r="N72" s="8" t="n"/>
      <c r="O72" s="8" t="n"/>
      <c r="P72" s="8" t="n"/>
      <c r="Q72" s="8" t="n"/>
      <c r="R72" s="9">
        <f>IF(COUNT(M72:Q72)=5,SUM(M72:Q72),"")</f>
        <v/>
      </c>
      <c r="S72" s="8" t="n"/>
      <c r="T72" s="8" t="n"/>
      <c r="U72" s="8" t="n"/>
      <c r="V72" s="11">
        <f>IF(AND(ISNUMBER(T72),T72&gt;0),U72/T72,"")</f>
        <v/>
      </c>
      <c r="W72" s="8" t="n"/>
      <c r="X72" s="8" t="n"/>
    </row>
    <row r="73">
      <c r="A73" s="7" t="n">
        <v>22</v>
      </c>
      <c r="B73" s="7" t="inlineStr">
        <is>
          <t>LLM genérico</t>
        </is>
      </c>
      <c r="C73" s="9">
        <f>INDEX(Perguntas!$B$2:$B$26,MATCH(A73,Perguntas!$A$2:$A$26,0))</f>
        <v/>
      </c>
      <c r="D73" s="9">
        <f>INDEX(Perguntas!$C$2:$C$26,MATCH(A73,Perguntas!$A$2:$A$26,0))</f>
        <v/>
      </c>
      <c r="E73" s="8" t="n"/>
      <c r="F73" s="8" t="n"/>
      <c r="G73" s="8" t="n"/>
      <c r="H73" s="8" t="n"/>
      <c r="I73" s="8" t="n"/>
      <c r="J73" s="8" t="n"/>
      <c r="K73" s="8" t="n"/>
      <c r="L73" s="10">
        <f>IF(COUNT(J73:K73)=2,(J73*Parametros!$B$3+K73*Parametros!$B$4)/1000000*Parametros!$B$5,"")</f>
        <v/>
      </c>
      <c r="M73" s="8" t="n"/>
      <c r="N73" s="8" t="n"/>
      <c r="O73" s="8" t="n"/>
      <c r="P73" s="8" t="n"/>
      <c r="Q73" s="8" t="n"/>
      <c r="R73" s="9">
        <f>IF(COUNT(M73:Q73)=5,SUM(M73:Q73),"")</f>
        <v/>
      </c>
      <c r="S73" s="8" t="n"/>
      <c r="T73" s="8" t="n"/>
      <c r="U73" s="8" t="n"/>
      <c r="V73" s="11">
        <f>IF(AND(ISNUMBER(T73),T73&gt;0),U73/T73,"")</f>
        <v/>
      </c>
      <c r="W73" s="8" t="n"/>
      <c r="X73" s="8" t="n"/>
    </row>
    <row r="74">
      <c r="A74" s="7" t="n">
        <v>23</v>
      </c>
      <c r="B74" s="7" t="inlineStr">
        <is>
          <t>LLM genérico</t>
        </is>
      </c>
      <c r="C74" s="9">
        <f>INDEX(Perguntas!$B$2:$B$26,MATCH(A74,Perguntas!$A$2:$A$26,0))</f>
        <v/>
      </c>
      <c r="D74" s="9">
        <f>INDEX(Perguntas!$C$2:$C$26,MATCH(A74,Perguntas!$A$2:$A$26,0))</f>
        <v/>
      </c>
      <c r="E74" s="8" t="n"/>
      <c r="F74" s="8" t="n"/>
      <c r="G74" s="8" t="n"/>
      <c r="H74" s="8" t="n"/>
      <c r="I74" s="8" t="n"/>
      <c r="J74" s="8" t="n"/>
      <c r="K74" s="8" t="n"/>
      <c r="L74" s="10">
        <f>IF(COUNT(J74:K74)=2,(J74*Parametros!$B$3+K74*Parametros!$B$4)/1000000*Parametros!$B$5,"")</f>
        <v/>
      </c>
      <c r="M74" s="8" t="n"/>
      <c r="N74" s="8" t="n"/>
      <c r="O74" s="8" t="n"/>
      <c r="P74" s="8" t="n"/>
      <c r="Q74" s="8" t="n"/>
      <c r="R74" s="9">
        <f>IF(COUNT(M74:Q74)=5,SUM(M74:Q74),"")</f>
        <v/>
      </c>
      <c r="S74" s="8" t="n"/>
      <c r="T74" s="8" t="n"/>
      <c r="U74" s="8" t="n"/>
      <c r="V74" s="11">
        <f>IF(AND(ISNUMBER(T74),T74&gt;0),U74/T74,"")</f>
        <v/>
      </c>
      <c r="W74" s="8" t="n"/>
      <c r="X74" s="8" t="n"/>
    </row>
    <row r="75">
      <c r="A75" s="7" t="n">
        <v>24</v>
      </c>
      <c r="B75" s="7" t="inlineStr">
        <is>
          <t>LLM genérico</t>
        </is>
      </c>
      <c r="C75" s="9">
        <f>INDEX(Perguntas!$B$2:$B$26,MATCH(A75,Perguntas!$A$2:$A$26,0))</f>
        <v/>
      </c>
      <c r="D75" s="9">
        <f>INDEX(Perguntas!$C$2:$C$26,MATCH(A75,Perguntas!$A$2:$A$26,0))</f>
        <v/>
      </c>
      <c r="E75" s="8" t="n"/>
      <c r="F75" s="8" t="n"/>
      <c r="G75" s="8" t="n"/>
      <c r="H75" s="8" t="n"/>
      <c r="I75" s="8" t="n"/>
      <c r="J75" s="8" t="n"/>
      <c r="K75" s="8" t="n"/>
      <c r="L75" s="10">
        <f>IF(COUNT(J75:K75)=2,(J75*Parametros!$B$3+K75*Parametros!$B$4)/1000000*Parametros!$B$5,"")</f>
        <v/>
      </c>
      <c r="M75" s="8" t="n"/>
      <c r="N75" s="8" t="n"/>
      <c r="O75" s="8" t="n"/>
      <c r="P75" s="8" t="n"/>
      <c r="Q75" s="8" t="n"/>
      <c r="R75" s="9">
        <f>IF(COUNT(M75:Q75)=5,SUM(M75:Q75),"")</f>
        <v/>
      </c>
      <c r="S75" s="8" t="n"/>
      <c r="T75" s="8" t="n"/>
      <c r="U75" s="8" t="n"/>
      <c r="V75" s="11">
        <f>IF(AND(ISNUMBER(T75),T75&gt;0),U75/T75,"")</f>
        <v/>
      </c>
      <c r="W75" s="8" t="n"/>
      <c r="X75" s="8" t="n"/>
    </row>
    <row r="76">
      <c r="A76" s="7" t="n">
        <v>25</v>
      </c>
      <c r="B76" s="7" t="inlineStr">
        <is>
          <t>LLM genérico</t>
        </is>
      </c>
      <c r="C76" s="9">
        <f>INDEX(Perguntas!$B$2:$B$26,MATCH(A76,Perguntas!$A$2:$A$26,0))</f>
        <v/>
      </c>
      <c r="D76" s="9">
        <f>INDEX(Perguntas!$C$2:$C$26,MATCH(A76,Perguntas!$A$2:$A$26,0))</f>
        <v/>
      </c>
      <c r="E76" s="8" t="n"/>
      <c r="F76" s="8" t="n"/>
      <c r="G76" s="8" t="n"/>
      <c r="H76" s="8" t="n"/>
      <c r="I76" s="8" t="n"/>
      <c r="J76" s="8" t="n"/>
      <c r="K76" s="8" t="n"/>
      <c r="L76" s="10">
        <f>IF(COUNT(J76:K76)=2,(J76*Parametros!$B$3+K76*Parametros!$B$4)/1000000*Parametros!$B$5,"")</f>
        <v/>
      </c>
      <c r="M76" s="8" t="n"/>
      <c r="N76" s="8" t="n"/>
      <c r="O76" s="8" t="n"/>
      <c r="P76" s="8" t="n"/>
      <c r="Q76" s="8" t="n"/>
      <c r="R76" s="9">
        <f>IF(COUNT(M76:Q76)=5,SUM(M76:Q76),"")</f>
        <v/>
      </c>
      <c r="S76" s="8" t="n"/>
      <c r="T76" s="8" t="n"/>
      <c r="U76" s="8" t="n"/>
      <c r="V76" s="11">
        <f>IF(AND(ISNUMBER(T76),T76&gt;0),U76/T76,"")</f>
        <v/>
      </c>
      <c r="W76" s="8" t="n"/>
      <c r="X76" s="8" t="n"/>
    </row>
    <row r="77">
      <c r="A77" s="7" t="n">
        <v>1</v>
      </c>
      <c r="B77" s="7" t="inlineStr">
        <is>
          <t>RAG atual</t>
        </is>
      </c>
      <c r="C77" s="9">
        <f>INDEX(Perguntas!$B$2:$B$26,MATCH(A77,Perguntas!$A$2:$A$26,0))</f>
        <v/>
      </c>
      <c r="D77" s="9">
        <f>INDEX(Perguntas!$C$2:$C$26,MATCH(A77,Perguntas!$A$2:$A$26,0))</f>
        <v/>
      </c>
      <c r="E77" s="8" t="inlineStr">
        <is>
          <t>2026-09-23</t>
        </is>
      </c>
      <c r="F77" s="8" t="inlineStr">
        <is>
          <t>groq/openai/gpt-oss-120b k=5 (cdde83a)</t>
        </is>
      </c>
      <c r="G77" s="8" t="inlineStr">
        <is>
          <t>Não encontrado no corpus.</t>
        </is>
      </c>
      <c r="H77" s="8" t="inlineStr">
        <is>
          <t>manual_praticas_cartorarias_1_grau.pdf:p5; curso-159994-aula-10-aeca-completo.pdf:p13; Lei_licitacoes_contratos_administrativos_4ed.pdf:p13; curso-159994-aula-06-bonus-799b-completo.pdf:p23; curso-160250-aula-00-480f-completo.pdf:p4</t>
        </is>
      </c>
      <c r="I77" s="8" t="n">
        <v>2.81</v>
      </c>
      <c r="J77" s="8" t="n">
        <v>1956</v>
      </c>
      <c r="K77" s="8" t="n">
        <v>122</v>
      </c>
      <c r="L77" s="10">
        <f>IF(COUNT(J77:K77)=2,(J77*Parametros!$B$3+K77*Parametros!$B$4)/1000000*Parametros!$B$5,"")</f>
        <v/>
      </c>
      <c r="M77" s="8" t="n"/>
      <c r="N77" s="8" t="n"/>
      <c r="O77" s="8" t="n"/>
      <c r="P77" s="8" t="n"/>
      <c r="Q77" s="8" t="n"/>
      <c r="R77" s="9">
        <f>IF(COUNT(M77:Q77)=5,SUM(M77:Q77),"")</f>
        <v/>
      </c>
      <c r="S77" s="8" t="n"/>
      <c r="T77" s="8" t="n"/>
      <c r="U77" s="8" t="n"/>
      <c r="V77" s="11">
        <f>IF(AND(ISNUMBER(T77),T77&gt;0),U77/T77,"")</f>
        <v/>
      </c>
      <c r="W77" s="8" t="n"/>
      <c r="X77" s="8" t="inlineStr">
        <is>
          <t>NAO_ENCONTRADO</t>
        </is>
      </c>
    </row>
    <row r="78">
      <c r="A78" s="7" t="n">
        <v>2</v>
      </c>
      <c r="B78" s="7" t="inlineStr">
        <is>
          <t>RAG atual</t>
        </is>
      </c>
      <c r="C78" s="9">
        <f>INDEX(Perguntas!$B$2:$B$26,MATCH(A78,Perguntas!$A$2:$A$26,0))</f>
        <v/>
      </c>
      <c r="D78" s="9">
        <f>INDEX(Perguntas!$C$2:$C$26,MATCH(A78,Perguntas!$A$2:$A$26,0))</f>
        <v/>
      </c>
      <c r="E78" s="8" t="inlineStr">
        <is>
          <t>2026-09-23</t>
        </is>
      </c>
      <c r="F78" s="8" t="inlineStr">
        <is>
          <t>groq/openai/gpt-oss-20b k=5 (cdde83a)</t>
        </is>
      </c>
      <c r="G78" s="8" t="inlineStr">
        <is>
          <t>Não encontrado no corpus.</t>
        </is>
      </c>
      <c r="H78" s="8" t="inlineStr">
        <is>
          <t>curso-160250-aula-01-b2c9-completo.pdf:p115; Lei_licitacoes_contratos_administrativos_4ed.pdf:p51; curso-159994-aula-06-43dd-completo.pdf:p59; curso-159994-aula-02-daa4-completo.pdf:p84; Lei_licitacoes_contratos_administrativos_4ed.pdf:p23</t>
        </is>
      </c>
      <c r="I78" s="8" t="n">
        <v>1.34</v>
      </c>
      <c r="J78" s="8" t="n">
        <v>2045</v>
      </c>
      <c r="K78" s="8" t="n">
        <v>231</v>
      </c>
      <c r="L78" s="10">
        <f>IF(COUNT(J78:K78)=2,(J78*Parametros!$B$3+K78*Parametros!$B$4)/1000000*Parametros!$B$5,"")</f>
        <v/>
      </c>
      <c r="M78" s="8" t="n"/>
      <c r="N78" s="8" t="n"/>
      <c r="O78" s="8" t="n"/>
      <c r="P78" s="8" t="n"/>
      <c r="Q78" s="8" t="n"/>
      <c r="R78" s="9">
        <f>IF(COUNT(M78:Q78)=5,SUM(M78:Q78),"")</f>
        <v/>
      </c>
      <c r="S78" s="8" t="n"/>
      <c r="T78" s="8" t="n"/>
      <c r="U78" s="8" t="n"/>
      <c r="V78" s="11">
        <f>IF(AND(ISNUMBER(T78),T78&gt;0),U78/T78,"")</f>
        <v/>
      </c>
      <c r="W78" s="8" t="n"/>
      <c r="X78" s="8" t="inlineStr">
        <is>
          <t>NAO_ENCONTRADO</t>
        </is>
      </c>
    </row>
    <row r="79">
      <c r="A79" s="7" t="n">
        <v>3</v>
      </c>
      <c r="B79" s="7" t="inlineStr">
        <is>
          <t>RAG atual</t>
        </is>
      </c>
      <c r="C79" s="9">
        <f>INDEX(Perguntas!$B$2:$B$26,MATCH(A79,Perguntas!$A$2:$A$26,0))</f>
        <v/>
      </c>
      <c r="D79" s="9">
        <f>INDEX(Perguntas!$C$2:$C$26,MATCH(A79,Perguntas!$A$2:$A$26,0))</f>
        <v/>
      </c>
      <c r="E79" s="8" t="inlineStr">
        <is>
          <t>2026-09-23</t>
        </is>
      </c>
      <c r="F79" s="8" t="inlineStr">
        <is>
          <t>groq/openai/gpt-oss-120b k=5 (cdde83a)</t>
        </is>
      </c>
      <c r="G79" s="8" t="inlineStr">
        <is>
          <t>Não encontrado no corpus</t>
        </is>
      </c>
      <c r="H79" s="8" t="inlineStr">
        <is>
          <t>LGPD-2023-ANPD.pdf:p9; curso-159994-aula-02-daa4-completo.pdf:p65; Lei_licitacoes_contratos_administrativos_4ed.pdf:p75; curso-159994-aula-11-d0d4-completo.pdf:p51; curso-159994-aula-02-daa4-completo.pdf:p58</t>
        </is>
      </c>
      <c r="I79" s="8" t="n">
        <v>1.22</v>
      </c>
      <c r="J79" s="8" t="n">
        <v>1971</v>
      </c>
      <c r="K79" s="8" t="n">
        <v>171</v>
      </c>
      <c r="L79" s="10">
        <f>IF(COUNT(J79:K79)=2,(J79*Parametros!$B$3+K79*Parametros!$B$4)/1000000*Parametros!$B$5,"")</f>
        <v/>
      </c>
      <c r="M79" s="8" t="n"/>
      <c r="N79" s="8" t="n"/>
      <c r="O79" s="8" t="n"/>
      <c r="P79" s="8" t="n"/>
      <c r="Q79" s="8" t="n"/>
      <c r="R79" s="9">
        <f>IF(COUNT(M79:Q79)=5,SUM(M79:Q79),"")</f>
        <v/>
      </c>
      <c r="S79" s="8" t="n"/>
      <c r="T79" s="8" t="n"/>
      <c r="U79" s="8" t="n"/>
      <c r="V79" s="11">
        <f>IF(AND(ISNUMBER(T79),T79&gt;0),U79/T79,"")</f>
        <v/>
      </c>
      <c r="W79" s="8" t="n"/>
      <c r="X79" s="8" t="inlineStr">
        <is>
          <t>NAO_ENCONTRADO</t>
        </is>
      </c>
    </row>
    <row r="80">
      <c r="A80" s="7" t="n">
        <v>4</v>
      </c>
      <c r="B80" s="7" t="inlineStr">
        <is>
          <t>RAG atual</t>
        </is>
      </c>
      <c r="C80" s="9">
        <f>INDEX(Perguntas!$B$2:$B$26,MATCH(A80,Perguntas!$A$2:$A$26,0))</f>
        <v/>
      </c>
      <c r="D80" s="9">
        <f>INDEX(Perguntas!$C$2:$C$26,MATCH(A80,Perguntas!$A$2:$A$26,0))</f>
        <v/>
      </c>
      <c r="E80" s="8" t="inlineStr">
        <is>
          <t>2026-09-23</t>
        </is>
      </c>
      <c r="F80" s="8" t="inlineStr">
        <is>
          <t>groq/openai/gpt-oss-120b k=5 (cdde83a)</t>
        </is>
      </c>
      <c r="G80" s="8" t="inlineStr">
        <is>
          <t>Não encontrado no corpus.</t>
        </is>
      </c>
      <c r="H80" s="8" t="inlineStr">
        <is>
          <t>GTA_executivo_federal_7ed.pdf:p8; gta_executivo_federal_7ed.pdf:p8; cartilha_inss_digital_oabsp.pdf:p34; GTA_executivo_federal_7ed.pdf:p34; gta_executivo_federal_7ed.pdf:p34</t>
        </is>
      </c>
      <c r="I80" s="8" t="n">
        <v>1.32</v>
      </c>
      <c r="J80" s="8" t="n">
        <v>1862</v>
      </c>
      <c r="K80" s="8" t="n">
        <v>148</v>
      </c>
      <c r="L80" s="10">
        <f>IF(COUNT(J80:K80)=2,(J80*Parametros!$B$3+K80*Parametros!$B$4)/1000000*Parametros!$B$5,"")</f>
        <v/>
      </c>
      <c r="M80" s="8" t="n"/>
      <c r="N80" s="8" t="n"/>
      <c r="O80" s="8" t="n"/>
      <c r="P80" s="8" t="n"/>
      <c r="Q80" s="8" t="n"/>
      <c r="R80" s="9">
        <f>IF(COUNT(M80:Q80)=5,SUM(M80:Q80),"")</f>
        <v/>
      </c>
      <c r="S80" s="8" t="n"/>
      <c r="T80" s="8" t="n"/>
      <c r="U80" s="8" t="n"/>
      <c r="V80" s="11">
        <f>IF(AND(ISNUMBER(T80),T80&gt;0),U80/T80,"")</f>
        <v/>
      </c>
      <c r="W80" s="8" t="n"/>
      <c r="X80" s="8" t="inlineStr">
        <is>
          <t>NAO_ENCONTRADO</t>
        </is>
      </c>
    </row>
    <row r="81">
      <c r="A81" s="7" t="n">
        <v>5</v>
      </c>
      <c r="B81" s="7" t="inlineStr">
        <is>
          <t>RAG atual</t>
        </is>
      </c>
      <c r="C81" s="9">
        <f>INDEX(Perguntas!$B$2:$B$26,MATCH(A81,Perguntas!$A$2:$A$26,0))</f>
        <v/>
      </c>
      <c r="D81" s="9">
        <f>INDEX(Perguntas!$C$2:$C$26,MATCH(A81,Perguntas!$A$2:$A$26,0))</f>
        <v/>
      </c>
      <c r="E81" s="8" t="inlineStr">
        <is>
          <t>2026-09-23</t>
        </is>
      </c>
      <c r="F81" s="8" t="inlineStr">
        <is>
          <t>groq/openai/gpt-oss-20b k=5 (cdde83a)</t>
        </is>
      </c>
      <c r="G81" s="8" t="inlineStr">
        <is>
          <t>**Não encontrado no corpus**</t>
        </is>
      </c>
      <c r="H81" s="8" t="inlineStr">
        <is>
          <t>manual_praticas_cartorarias_1_grau.pdf:p27; GTA_executivo_federal_7ed.pdf:p28; gta_executivo_federal_7ed.pdf:p28; LGPD-2023-ANPD.pdf:p9; GTA_executivo_federal_7ed.pdf:p29</t>
        </is>
      </c>
      <c r="I81" s="8" t="n">
        <v>1.66</v>
      </c>
      <c r="J81" s="8" t="n">
        <v>1882</v>
      </c>
      <c r="K81" s="8" t="n">
        <v>104</v>
      </c>
      <c r="L81" s="10">
        <f>IF(COUNT(J81:K81)=2,(J81*Parametros!$B$3+K81*Parametros!$B$4)/1000000*Parametros!$B$5,"")</f>
        <v/>
      </c>
      <c r="M81" s="8" t="n"/>
      <c r="N81" s="8" t="n"/>
      <c r="O81" s="8" t="n"/>
      <c r="P81" s="8" t="n"/>
      <c r="Q81" s="8" t="n"/>
      <c r="R81" s="9">
        <f>IF(COUNT(M81:Q81)=5,SUM(M81:Q81),"")</f>
        <v/>
      </c>
      <c r="S81" s="8" t="n"/>
      <c r="T81" s="8" t="n"/>
      <c r="U81" s="8" t="n"/>
      <c r="V81" s="11">
        <f>IF(AND(ISNUMBER(T81),T81&gt;0),U81/T81,"")</f>
        <v/>
      </c>
      <c r="W81" s="8" t="n"/>
      <c r="X81" s="8" t="inlineStr">
        <is>
          <t>NAO_ENCONTRADO</t>
        </is>
      </c>
    </row>
    <row r="82">
      <c r="A82" s="7" t="n">
        <v>6</v>
      </c>
      <c r="B82" s="7" t="inlineStr">
        <is>
          <t>RAG atual</t>
        </is>
      </c>
      <c r="C82" s="9">
        <f>INDEX(Perguntas!$B$2:$B$26,MATCH(A82,Perguntas!$A$2:$A$26,0))</f>
        <v/>
      </c>
      <c r="D82" s="9">
        <f>INDEX(Perguntas!$C$2:$C$26,MATCH(A82,Perguntas!$A$2:$A$26,0))</f>
        <v/>
      </c>
      <c r="E82" s="8" t="inlineStr">
        <is>
          <t>2026-09-23</t>
        </is>
      </c>
      <c r="F82" s="8" t="inlineStr">
        <is>
          <t>groq/openai/gpt-oss-20b k=5 (cdde83a)</t>
        </is>
      </c>
      <c r="G82" s="8" t="inlineStr">
        <is>
          <t>Não encontrado no corpus.</t>
        </is>
      </c>
      <c r="H82" s="8" t="inlineStr">
        <is>
          <t>inss_beneficios.pdf:p1; cartilha_inss_digital_oabsp.pdf:p18; cartilha_inss_digital_oabsp.pdf:p42; GTA_executivo_federal_7ed.pdf:p40; gta_executivo_federal_7ed.pdf:p40</t>
        </is>
      </c>
      <c r="I82" s="8" t="n">
        <v>8.210000000000001</v>
      </c>
      <c r="J82" s="8" t="n">
        <v>1592</v>
      </c>
      <c r="K82" s="8" t="n">
        <v>363</v>
      </c>
      <c r="L82" s="10">
        <f>IF(COUNT(J82:K82)=2,(J82*Parametros!$B$3+K82*Parametros!$B$4)/1000000*Parametros!$B$5,"")</f>
        <v/>
      </c>
      <c r="M82" s="8" t="n"/>
      <c r="N82" s="8" t="n"/>
      <c r="O82" s="8" t="n"/>
      <c r="P82" s="8" t="n"/>
      <c r="Q82" s="8" t="n"/>
      <c r="R82" s="9">
        <f>IF(COUNT(M82:Q82)=5,SUM(M82:Q82),"")</f>
        <v/>
      </c>
      <c r="S82" s="8" t="n"/>
      <c r="T82" s="8" t="n"/>
      <c r="U82" s="8" t="n"/>
      <c r="V82" s="11">
        <f>IF(AND(ISNUMBER(T82),T82&gt;0),U82/T82,"")</f>
        <v/>
      </c>
      <c r="W82" s="8" t="n"/>
      <c r="X82" s="8" t="inlineStr">
        <is>
          <t>NAO_ENCONTRADO</t>
        </is>
      </c>
    </row>
    <row r="83">
      <c r="A83" s="7" t="n">
        <v>7</v>
      </c>
      <c r="B83" s="7" t="inlineStr">
        <is>
          <t>RAG atual</t>
        </is>
      </c>
      <c r="C83" s="9">
        <f>INDEX(Perguntas!$B$2:$B$26,MATCH(A83,Perguntas!$A$2:$A$26,0))</f>
        <v/>
      </c>
      <c r="D83" s="9">
        <f>INDEX(Perguntas!$C$2:$C$26,MATCH(A83,Perguntas!$A$2:$A$26,0))</f>
        <v/>
      </c>
      <c r="E83" s="8" t="inlineStr">
        <is>
          <t>2026-09-23</t>
        </is>
      </c>
      <c r="F83" s="8" t="inlineStr">
        <is>
          <t>groq/openai/gpt-oss-20b k=5 (cdde83a)</t>
        </is>
      </c>
      <c r="G83" s="8" t="inlineStr">
        <is>
          <t>Não encontrado no corpus.</t>
        </is>
      </c>
      <c r="H83" s="8" t="inlineStr">
        <is>
          <t>manual_praticas_cartorarias_1_grau.pdf:p40; curso-159994-aula-23-d320-completo.pdf:p8; curso-159994-aula-23-d320-completo.pdf:p36; curso-159994-aula-07-292a-completo.pdf:p102; curso-159994-aula-07-292a-completo.pdf:p76</t>
        </is>
      </c>
      <c r="I83" s="8" t="n">
        <v>13.87</v>
      </c>
      <c r="J83" s="8" t="n">
        <v>1792</v>
      </c>
      <c r="K83" s="8" t="n">
        <v>163</v>
      </c>
      <c r="L83" s="10">
        <f>IF(COUNT(J83:K83)=2,(J83*Parametros!$B$3+K83*Parametros!$B$4)/1000000*Parametros!$B$5,"")</f>
        <v/>
      </c>
      <c r="M83" s="8" t="n"/>
      <c r="N83" s="8" t="n"/>
      <c r="O83" s="8" t="n"/>
      <c r="P83" s="8" t="n"/>
      <c r="Q83" s="8" t="n"/>
      <c r="R83" s="9">
        <f>IF(COUNT(M83:Q83)=5,SUM(M83:Q83),"")</f>
        <v/>
      </c>
      <c r="S83" s="8" t="n"/>
      <c r="T83" s="8" t="n"/>
      <c r="U83" s="8" t="n"/>
      <c r="V83" s="11">
        <f>IF(AND(ISNUMBER(T83),T83&gt;0),U83/T83,"")</f>
        <v/>
      </c>
      <c r="W83" s="8" t="n"/>
      <c r="X83" s="8" t="inlineStr">
        <is>
          <t>NAO_ENCONTRADO</t>
        </is>
      </c>
    </row>
    <row r="84">
      <c r="A84" s="7" t="n">
        <v>8</v>
      </c>
      <c r="B84" s="7" t="inlineStr">
        <is>
          <t>RAG atual</t>
        </is>
      </c>
      <c r="C84" s="9">
        <f>INDEX(Perguntas!$B$2:$B$26,MATCH(A84,Perguntas!$A$2:$A$26,0))</f>
        <v/>
      </c>
      <c r="D84" s="9">
        <f>INDEX(Perguntas!$C$2:$C$26,MATCH(A84,Perguntas!$A$2:$A$26,0))</f>
        <v/>
      </c>
      <c r="E84" s="8" t="inlineStr">
        <is>
          <t>2026-09-23</t>
        </is>
      </c>
      <c r="F84" s="8" t="inlineStr">
        <is>
          <t>groq/openai/gpt-oss-120b k=5 (cdde83a)</t>
        </is>
      </c>
      <c r="G84" s="8" t="inlineStr">
        <is>
          <t>Não encontrado no corpus</t>
        </is>
      </c>
      <c r="H84" s="8" t="inlineStr">
        <is>
          <t>Lei_licitacoes_contratos_administrativos_4ed.pdf:p141; LGPD-2023-ANPD.pdf:p48; curso-159994-aula-24-bf9f-completo.pdf:p63; GTA_executivo_federal_7ed.pdf:p31; gta_executivo_federal_7ed.pdf:p31</t>
        </is>
      </c>
      <c r="I84" s="8" t="n">
        <v>1.33</v>
      </c>
      <c r="J84" s="8" t="n">
        <v>1938</v>
      </c>
      <c r="K84" s="8" t="n">
        <v>242</v>
      </c>
      <c r="L84" s="10">
        <f>IF(COUNT(J84:K84)=2,(J84*Parametros!$B$3+K84*Parametros!$B$4)/1000000*Parametros!$B$5,"")</f>
        <v/>
      </c>
      <c r="M84" s="8" t="n"/>
      <c r="N84" s="8" t="n"/>
      <c r="O84" s="8" t="n"/>
      <c r="P84" s="8" t="n"/>
      <c r="Q84" s="8" t="n"/>
      <c r="R84" s="9">
        <f>IF(COUNT(M84:Q84)=5,SUM(M84:Q84),"")</f>
        <v/>
      </c>
      <c r="S84" s="8" t="n"/>
      <c r="T84" s="8" t="n"/>
      <c r="U84" s="8" t="n"/>
      <c r="V84" s="11">
        <f>IF(AND(ISNUMBER(T84),T84&gt;0),U84/T84,"")</f>
        <v/>
      </c>
      <c r="W84" s="8" t="n"/>
      <c r="X84" s="8" t="inlineStr">
        <is>
          <t>NAO_ENCONTRADO</t>
        </is>
      </c>
    </row>
    <row r="85">
      <c r="A85" s="7" t="n">
        <v>9</v>
      </c>
      <c r="B85" s="7" t="inlineStr">
        <is>
          <t>RAG atual</t>
        </is>
      </c>
      <c r="C85" s="9">
        <f>INDEX(Perguntas!$B$2:$B$26,MATCH(A85,Perguntas!$A$2:$A$26,0))</f>
        <v/>
      </c>
      <c r="D85" s="9">
        <f>INDEX(Perguntas!$C$2:$C$26,MATCH(A85,Perguntas!$A$2:$A$26,0))</f>
        <v/>
      </c>
      <c r="E85" s="8" t="inlineStr">
        <is>
          <t>2026-09-23</t>
        </is>
      </c>
      <c r="F85" s="8" t="inlineStr">
        <is>
          <t>groq/openai/gpt-oss-20b k=5 (cdde83a)</t>
        </is>
      </c>
      <c r="G85" s="8" t="inlineStr">
        <is>
          <t>**Resposta**
Para que a polícia possa obter dados de um proprietário por ofício, é necessário observar as disposições legais que regulam o acesso a dados pessoais e a atuação policial.  
**1. Princípio da Necessidade e da Finalidade**  
- **LGPD**: o tratamento de dados pessoais só pode ocorrer quando houver uma base legal (art. 5º).  
- **Polícia**: a coleta de dados deve estar vinculada a uma finalidade legítima, como investigação de infração de trânsito ou de crime.
**2. Necessidade de Ordem Judicial ou Autorização Legal**  
- **CPC**: a citação e a obtenção de documentos de terceiros normalmente requerem **ordem judicial** (art. 225).  
- **CTB**: não há previsão específica que autorize a polícia a solicitar dados de proprietários sem ordem judicial; a lei exige que a informação seja obtida por meio de procedimento legalmente previsto.  
**3. Procedimento a Seguir**  
- **Rejeitar** o ofício se não houver ordem judicial ou base legal clara.  
- **Solicitar** à autoridade policial que apresente a **ordem judicial** ou outro documento que comprove a base legal (por exemplo, autorização de investigação criminal).  
- **Verificar** se existe alguma norma específica que autorize a polícia a acessar dados sem ordem judicial (ex.: Lei de Execução Penal, Lei de Segurança Pública). Se existir, seguir o procedimento previsto.  
**4. Caso a Ordem Judicial Não Esteja Disponível**  
- **Encaminhar** o pedido ao juiz competente para que seja emitida a ordem de acesso aos dados.  
- **Manter** o sigilo e a confidencialidade dos dados, conforme exigido pela LGPD.  
**Resumo em Lista**  
- **LGPD**: exigir base legal (consentimento, obrigação legal, etc.).  
- **CPC**: requer ordem judicial para obtenção de dados de terceiros.  
- **CTB**: não autoriza acesso sem ordem judicial.  
- **Procedimento**: rejeitar ofício sem ordem, solicitar ordem judicial ou verificar norma específica que autorize.  
---  
Se houver alguma dúvida adicional sobre a base legal específica ou sobre a necessidade de autorização judicial, consulte o órgão jurídico competente.</t>
        </is>
      </c>
      <c r="H85" s="8" t="inlineStr">
        <is>
          <t>curso-159994-aula-04-b323-completo.pdf:p36; curso-159994-aula-04-b323-completo.pdf:p45; LGPD-2023-ANPD.pdf:p13; manual_praticas_cartorarias_1_grau.pdf:p32; curso-159994-aula-04-b323-completo.pdf:p35</t>
        </is>
      </c>
      <c r="I85" s="8" t="n">
        <v>8.26</v>
      </c>
      <c r="J85" s="8" t="n">
        <v>1882</v>
      </c>
      <c r="K85" s="8" t="n">
        <v>905</v>
      </c>
      <c r="L85" s="10">
        <f>IF(COUNT(J85:K85)=2,(J85*Parametros!$B$3+K85*Parametros!$B$4)/1000000*Parametros!$B$5,"")</f>
        <v/>
      </c>
      <c r="M85" s="8" t="n"/>
      <c r="N85" s="8" t="n"/>
      <c r="O85" s="8" t="n"/>
      <c r="P85" s="8" t="n"/>
      <c r="Q85" s="8" t="n"/>
      <c r="R85" s="9">
        <f>IF(COUNT(M85:Q85)=5,SUM(M85:Q85),"")</f>
        <v/>
      </c>
      <c r="S85" s="8" t="n"/>
      <c r="T85" s="8" t="n"/>
      <c r="U85" s="8" t="n"/>
      <c r="V85" s="11">
        <f>IF(AND(ISNUMBER(T85),T85&gt;0),U85/T85,"")</f>
        <v/>
      </c>
      <c r="W85" s="8" t="n"/>
      <c r="X85" s="8" t="inlineStr">
        <is>
          <t>RESPONDIDA</t>
        </is>
      </c>
    </row>
    <row r="86">
      <c r="A86" s="7" t="n">
        <v>10</v>
      </c>
      <c r="B86" s="7" t="inlineStr">
        <is>
          <t>RAG atual</t>
        </is>
      </c>
      <c r="C86" s="9">
        <f>INDEX(Perguntas!$B$2:$B$26,MATCH(A86,Perguntas!$A$2:$A$26,0))</f>
        <v/>
      </c>
      <c r="D86" s="9">
        <f>INDEX(Perguntas!$C$2:$C$26,MATCH(A86,Perguntas!$A$2:$A$26,0))</f>
        <v/>
      </c>
      <c r="E86" s="8" t="inlineStr">
        <is>
          <t>2026-09-23</t>
        </is>
      </c>
      <c r="F86" s="8" t="inlineStr">
        <is>
          <t>groq/openai/gpt-oss-20b k=5 (cdde83a)</t>
        </is>
      </c>
      <c r="G86" s="8" t="inlineStr">
        <is>
          <t>**Não encontrado no corpus**</t>
        </is>
      </c>
      <c r="H86" s="8" t="inlineStr">
        <is>
          <t>GTA_executivo_federal_7ed.pdf:p49; gta_executivo_federal_7ed.pdf:p49; curso-159994-aula-21-f255-completo.pdf:p10; LGPD-2023-ANPD.pdf:p25; Lei_licitacoes_contratos_administrativos_4ed.pdf:p78</t>
        </is>
      </c>
      <c r="I86" s="8" t="n">
        <v>18.06</v>
      </c>
      <c r="J86" s="8" t="n">
        <v>1682</v>
      </c>
      <c r="K86" s="8" t="n">
        <v>97</v>
      </c>
      <c r="L86" s="10">
        <f>IF(COUNT(J86:K86)=2,(J86*Parametros!$B$3+K86*Parametros!$B$4)/1000000*Parametros!$B$5,"")</f>
        <v/>
      </c>
      <c r="M86" s="8" t="n"/>
      <c r="N86" s="8" t="n"/>
      <c r="O86" s="8" t="n"/>
      <c r="P86" s="8" t="n"/>
      <c r="Q86" s="8" t="n"/>
      <c r="R86" s="9">
        <f>IF(COUNT(M86:Q86)=5,SUM(M86:Q86),"")</f>
        <v/>
      </c>
      <c r="S86" s="8" t="n"/>
      <c r="T86" s="8" t="n"/>
      <c r="U86" s="8" t="n"/>
      <c r="V86" s="11">
        <f>IF(AND(ISNUMBER(T86),T86&gt;0),U86/T86,"")</f>
        <v/>
      </c>
      <c r="W86" s="8" t="n"/>
      <c r="X86" s="8" t="inlineStr">
        <is>
          <t>NAO_ENCONTRADO</t>
        </is>
      </c>
    </row>
    <row r="87">
      <c r="A87" s="7" t="n">
        <v>11</v>
      </c>
      <c r="B87" s="7" t="inlineStr">
        <is>
          <t>RAG atual</t>
        </is>
      </c>
      <c r="C87" s="9">
        <f>INDEX(Perguntas!$B$2:$B$26,MATCH(A87,Perguntas!$A$2:$A$26,0))</f>
        <v/>
      </c>
      <c r="D87" s="9">
        <f>INDEX(Perguntas!$C$2:$C$26,MATCH(A87,Perguntas!$A$2:$A$26,0))</f>
        <v/>
      </c>
      <c r="E87" s="8" t="inlineStr">
        <is>
          <t>2026-09-23</t>
        </is>
      </c>
      <c r="F87" s="8" t="inlineStr">
        <is>
          <t>groq/openai/gpt-oss-120b k=5 (cdde83a)</t>
        </is>
      </c>
      <c r="G87" s="8" t="inlineStr">
        <is>
          <t>Não encontrado no corpus</t>
        </is>
      </c>
      <c r="H87" s="8" t="inlineStr">
        <is>
          <t>GTA_executivo_federal_7ed.pdf:p62; gta_executivo_federal_7ed.pdf:p62; GTA_executivo_federal_7ed.pdf:p52; gta_executivo_federal_7ed.pdf:p52; GTA_executivo_federal_7ed.pdf:p38</t>
        </is>
      </c>
      <c r="I87" s="8" t="n">
        <v>1.49</v>
      </c>
      <c r="J87" s="8" t="n">
        <v>1789</v>
      </c>
      <c r="K87" s="8" t="n">
        <v>147</v>
      </c>
      <c r="L87" s="10">
        <f>IF(COUNT(J87:K87)=2,(J87*Parametros!$B$3+K87*Parametros!$B$4)/1000000*Parametros!$B$5,"")</f>
        <v/>
      </c>
      <c r="M87" s="8" t="n"/>
      <c r="N87" s="8" t="n"/>
      <c r="O87" s="8" t="n"/>
      <c r="P87" s="8" t="n"/>
      <c r="Q87" s="8" t="n"/>
      <c r="R87" s="9">
        <f>IF(COUNT(M87:Q87)=5,SUM(M87:Q87),"")</f>
        <v/>
      </c>
      <c r="S87" s="8" t="n"/>
      <c r="T87" s="8" t="n"/>
      <c r="U87" s="8" t="n"/>
      <c r="V87" s="11">
        <f>IF(AND(ISNUMBER(T87),T87&gt;0),U87/T87,"")</f>
        <v/>
      </c>
      <c r="W87" s="8" t="n"/>
      <c r="X87" s="8" t="inlineStr">
        <is>
          <t>NAO_ENCONTRADO</t>
        </is>
      </c>
    </row>
    <row r="88">
      <c r="A88" s="7" t="n">
        <v>12</v>
      </c>
      <c r="B88" s="7" t="inlineStr">
        <is>
          <t>RAG atual</t>
        </is>
      </c>
      <c r="C88" s="9">
        <f>INDEX(Perguntas!$B$2:$B$26,MATCH(A88,Perguntas!$A$2:$A$26,0))</f>
        <v/>
      </c>
      <c r="D88" s="9">
        <f>INDEX(Perguntas!$C$2:$C$26,MATCH(A88,Perguntas!$A$2:$A$26,0))</f>
        <v/>
      </c>
      <c r="E88" s="8" t="inlineStr">
        <is>
          <t>2026-09-23</t>
        </is>
      </c>
      <c r="F88" s="8" t="inlineStr">
        <is>
          <t>groq/openai/gpt-oss-20b k=5 (cdde83a)</t>
        </is>
      </c>
      <c r="G88" s="8" t="inlineStr">
        <is>
          <t>Não encontrado no corpus</t>
        </is>
      </c>
      <c r="H88" s="8" t="inlineStr">
        <is>
          <t>GTA_executivo_federal_7ed.pdf:p17; gta_executivo_federal_7ed.pdf:p17; Lei_licitacoes_contratos_administrativos_4ed.pdf:p23; curso-159994-aula-06-43dd-completo.pdf:p56; inss_beneficios.pdf:p1</t>
        </is>
      </c>
      <c r="I88" s="8" t="n">
        <v>7.22</v>
      </c>
      <c r="J88" s="8" t="n">
        <v>1560</v>
      </c>
      <c r="K88" s="8" t="n">
        <v>201</v>
      </c>
      <c r="L88" s="10">
        <f>IF(COUNT(J88:K88)=2,(J88*Parametros!$B$3+K88*Parametros!$B$4)/1000000*Parametros!$B$5,"")</f>
        <v/>
      </c>
      <c r="M88" s="8" t="n"/>
      <c r="N88" s="8" t="n"/>
      <c r="O88" s="8" t="n"/>
      <c r="P88" s="8" t="n"/>
      <c r="Q88" s="8" t="n"/>
      <c r="R88" s="9">
        <f>IF(COUNT(M88:Q88)=5,SUM(M88:Q88),"")</f>
        <v/>
      </c>
      <c r="S88" s="8" t="n"/>
      <c r="T88" s="8" t="n"/>
      <c r="U88" s="8" t="n"/>
      <c r="V88" s="11">
        <f>IF(AND(ISNUMBER(T88),T88&gt;0),U88/T88,"")</f>
        <v/>
      </c>
      <c r="W88" s="8" t="n"/>
      <c r="X88" s="8" t="inlineStr">
        <is>
          <t>NAO_ENCONTRADO</t>
        </is>
      </c>
    </row>
    <row r="89">
      <c r="A89" s="7" t="n">
        <v>13</v>
      </c>
      <c r="B89" s="7" t="inlineStr">
        <is>
          <t>RAG atual</t>
        </is>
      </c>
      <c r="C89" s="9">
        <f>INDEX(Perguntas!$B$2:$B$26,MATCH(A89,Perguntas!$A$2:$A$26,0))</f>
        <v/>
      </c>
      <c r="D89" s="9">
        <f>INDEX(Perguntas!$C$2:$C$26,MATCH(A89,Perguntas!$A$2:$A$26,0))</f>
        <v/>
      </c>
      <c r="E89" s="8" t="inlineStr">
        <is>
          <t>2026-09-23</t>
        </is>
      </c>
      <c r="F89" s="8" t="inlineStr">
        <is>
          <t>groq/openai/gpt-oss-20b k=5 (cdde83a)</t>
        </is>
      </c>
      <c r="G89" s="8" t="inlineStr">
        <is>
          <t>Não encontrado no corpus.</t>
        </is>
      </c>
      <c r="H89" s="8" t="inlineStr">
        <is>
          <t>Lei_licitacoes_contratos_administrativos_4ed.pdf:p119; manual_praticas_cartorarias_1_grau.pdf:p21; Lei_licitacoes_contratos_administrativos_4ed.pdf:p73; curso-159994-aula-02-daa4-completo.pdf:p65; Lei_licitacoes_contratos_administrativos_4ed.pdf:p24</t>
        </is>
      </c>
      <c r="I89" s="8" t="n">
        <v>11.78</v>
      </c>
      <c r="J89" s="8" t="n">
        <v>1628</v>
      </c>
      <c r="K89" s="8" t="n">
        <v>254</v>
      </c>
      <c r="L89" s="10">
        <f>IF(COUNT(J89:K89)=2,(J89*Parametros!$B$3+K89*Parametros!$B$4)/1000000*Parametros!$B$5,"")</f>
        <v/>
      </c>
      <c r="M89" s="8" t="n"/>
      <c r="N89" s="8" t="n"/>
      <c r="O89" s="8" t="n"/>
      <c r="P89" s="8" t="n"/>
      <c r="Q89" s="8" t="n"/>
      <c r="R89" s="9">
        <f>IF(COUNT(M89:Q89)=5,SUM(M89:Q89),"")</f>
        <v/>
      </c>
      <c r="S89" s="8" t="n"/>
      <c r="T89" s="8" t="n"/>
      <c r="U89" s="8" t="n"/>
      <c r="V89" s="11">
        <f>IF(AND(ISNUMBER(T89),T89&gt;0),U89/T89,"")</f>
        <v/>
      </c>
      <c r="W89" s="8" t="n"/>
      <c r="X89" s="8" t="inlineStr">
        <is>
          <t>NAO_ENCONTRADO</t>
        </is>
      </c>
    </row>
    <row r="90">
      <c r="A90" s="7" t="n">
        <v>14</v>
      </c>
      <c r="B90" s="7" t="inlineStr">
        <is>
          <t>RAG atual</t>
        </is>
      </c>
      <c r="C90" s="9">
        <f>INDEX(Perguntas!$B$2:$B$26,MATCH(A90,Perguntas!$A$2:$A$26,0))</f>
        <v/>
      </c>
      <c r="D90" s="9">
        <f>INDEX(Perguntas!$C$2:$C$26,MATCH(A90,Perguntas!$A$2:$A$26,0))</f>
        <v/>
      </c>
      <c r="E90" s="8" t="inlineStr">
        <is>
          <t>2026-09-23</t>
        </is>
      </c>
      <c r="F90" s="8" t="inlineStr">
        <is>
          <t>groq/openai/gpt-oss-20b k=5 (cdde83a)</t>
        </is>
      </c>
      <c r="G90" s="8" t="inlineStr">
        <is>
          <t>Não encontrado no corpus</t>
        </is>
      </c>
      <c r="H90" s="8" t="inlineStr">
        <is>
          <t>GTA_executivo_federal_7ed.pdf:p61; gta_executivo_federal_7ed.pdf:p61; curso-159994-aula-06-43dd-completo.pdf:p15; curso-159994-aula-14-478b-completo.pdf:p7; curso-159994-aula-02-daa4-completo.pdf:p13</t>
        </is>
      </c>
      <c r="I90" s="8" t="n">
        <v>14.29</v>
      </c>
      <c r="J90" s="8" t="n">
        <v>1915</v>
      </c>
      <c r="K90" s="8" t="n">
        <v>312</v>
      </c>
      <c r="L90" s="10">
        <f>IF(COUNT(J90:K90)=2,(J90*Parametros!$B$3+K90*Parametros!$B$4)/1000000*Parametros!$B$5,"")</f>
        <v/>
      </c>
      <c r="M90" s="8" t="n"/>
      <c r="N90" s="8" t="n"/>
      <c r="O90" s="8" t="n"/>
      <c r="P90" s="8" t="n"/>
      <c r="Q90" s="8" t="n"/>
      <c r="R90" s="9">
        <f>IF(COUNT(M90:Q90)=5,SUM(M90:Q90),"")</f>
        <v/>
      </c>
      <c r="S90" s="8" t="n"/>
      <c r="T90" s="8" t="n"/>
      <c r="U90" s="8" t="n"/>
      <c r="V90" s="11">
        <f>IF(AND(ISNUMBER(T90),T90&gt;0),U90/T90,"")</f>
        <v/>
      </c>
      <c r="W90" s="8" t="n"/>
      <c r="X90" s="8" t="inlineStr">
        <is>
          <t>NAO_ENCONTRADO</t>
        </is>
      </c>
    </row>
    <row r="91">
      <c r="A91" s="7" t="n">
        <v>15</v>
      </c>
      <c r="B91" s="7" t="inlineStr">
        <is>
          <t>RAG atual</t>
        </is>
      </c>
      <c r="C91" s="9">
        <f>INDEX(Perguntas!$B$2:$B$26,MATCH(A91,Perguntas!$A$2:$A$26,0))</f>
        <v/>
      </c>
      <c r="D91" s="9">
        <f>INDEX(Perguntas!$C$2:$C$26,MATCH(A91,Perguntas!$A$2:$A$26,0))</f>
        <v/>
      </c>
      <c r="E91" s="8" t="inlineStr">
        <is>
          <t>2026-09-23</t>
        </is>
      </c>
      <c r="F91" s="8" t="inlineStr">
        <is>
          <t>groq/openai/gpt-oss-120b k=5 (cdde83a)</t>
        </is>
      </c>
      <c r="G91" s="8" t="inlineStr">
        <is>
          <t>**Não.**  
A cópia do documento contém **dados de saúde**, que são dados pessoais sensíveis. De acordo com a Lei Geral de Proteção de Dados Pessoais (LGPD):
- **Art. 21.** “Os dados pessoais referentes ao exercício regular de direitos pelo titular não podem ser utilizados em seu prejuízo.”  
- **Art. 22.** “A defesa dos interesses e dos direitos dos titulares de dados poderá ser exercida em juízo, individual ou coletivamente, na forma do disposto na legislação pertinente.”  
- **Art. 23.** O tratamento de dados pessoais por entes públicos deve observar a finalidade pública e o interesse legítimo, não podendo ser realizado sem a devida base legal.  
Além disso, a **seção que trata do consentimento** estabelece que o tratamento de dados sensíveis só pode ocorrer mediante **manifestação livre, informada e inequívoca** do titular (**XII – consentimento**).
Portanto, a entrega da cópia só é admissível se:
- houver **consentimento expresso** do titular dos dados de saúde; ou  
- houver **ordem judicial** ou outra hipótese legal que autorize o tratamento sem consentimento.
Na ausência dessas condições, o documento não deve ser fornecido.</t>
        </is>
      </c>
      <c r="H91" s="8" t="inlineStr">
        <is>
          <t>manual_praticas_cartorarias_1_grau.pdf:p37; cartilha_inss_digital_oabsp.pdf:p13; LGPD-2023-ANPD.pdf:p24; LGPD-2023-ANPD.pdf:p11; LGPD-2023-ANPD.pdf:p19</t>
        </is>
      </c>
      <c r="I91" s="8" t="n">
        <v>2.74</v>
      </c>
      <c r="J91" s="8" t="n">
        <v>1939</v>
      </c>
      <c r="K91" s="8" t="n">
        <v>580</v>
      </c>
      <c r="L91" s="10">
        <f>IF(COUNT(J91:K91)=2,(J91*Parametros!$B$3+K91*Parametros!$B$4)/1000000*Parametros!$B$5,"")</f>
        <v/>
      </c>
      <c r="M91" s="8" t="n"/>
      <c r="N91" s="8" t="n"/>
      <c r="O91" s="8" t="n"/>
      <c r="P91" s="8" t="n"/>
      <c r="Q91" s="8" t="n"/>
      <c r="R91" s="9">
        <f>IF(COUNT(M91:Q91)=5,SUM(M91:Q91),"")</f>
        <v/>
      </c>
      <c r="S91" s="8" t="n"/>
      <c r="T91" s="8" t="n"/>
      <c r="U91" s="8" t="n"/>
      <c r="V91" s="11">
        <f>IF(AND(ISNUMBER(T91),T91&gt;0),U91/T91,"")</f>
        <v/>
      </c>
      <c r="W91" s="8" t="n"/>
      <c r="X91" s="8" t="inlineStr">
        <is>
          <t>RESPONDIDA</t>
        </is>
      </c>
    </row>
    <row r="92">
      <c r="A92" s="7" t="n">
        <v>16</v>
      </c>
      <c r="B92" s="7" t="inlineStr">
        <is>
          <t>RAG atual</t>
        </is>
      </c>
      <c r="C92" s="9">
        <f>INDEX(Perguntas!$B$2:$B$26,MATCH(A92,Perguntas!$A$2:$A$26,0))</f>
        <v/>
      </c>
      <c r="D92" s="9">
        <f>INDEX(Perguntas!$C$2:$C$26,MATCH(A92,Perguntas!$A$2:$A$26,0))</f>
        <v/>
      </c>
      <c r="E92" s="8" t="inlineStr">
        <is>
          <t>2026-09-23</t>
        </is>
      </c>
      <c r="F92" s="8" t="inlineStr">
        <is>
          <t>groq/openai/gpt-oss-20b k=5 (cdde83a)</t>
        </is>
      </c>
      <c r="G92" s="8" t="inlineStr">
        <is>
          <t>**Não encontrado no corpus**</t>
        </is>
      </c>
      <c r="H92" s="8" t="inlineStr">
        <is>
          <t>cartilha_inss_digital_oabsp.pdf:p18; cartilha_inss_digital_oabsp.pdf:p33; GTA_executivo_federal_7ed.pdf:p35; gta_executivo_federal_7ed.pdf:p35; cartilha_inss_digital_oabsp.pdf:p20</t>
        </is>
      </c>
      <c r="I92" s="8" t="n">
        <v>5.34</v>
      </c>
      <c r="J92" s="8" t="n">
        <v>1789</v>
      </c>
      <c r="K92" s="8" t="n">
        <v>104</v>
      </c>
      <c r="L92" s="10">
        <f>IF(COUNT(J92:K92)=2,(J92*Parametros!$B$3+K92*Parametros!$B$4)/1000000*Parametros!$B$5,"")</f>
        <v/>
      </c>
      <c r="M92" s="8" t="n"/>
      <c r="N92" s="8" t="n"/>
      <c r="O92" s="8" t="n"/>
      <c r="P92" s="8" t="n"/>
      <c r="Q92" s="8" t="n"/>
      <c r="R92" s="9">
        <f>IF(COUNT(M92:Q92)=5,SUM(M92:Q92),"")</f>
        <v/>
      </c>
      <c r="S92" s="8" t="n"/>
      <c r="T92" s="8" t="n"/>
      <c r="U92" s="8" t="n"/>
      <c r="V92" s="11">
        <f>IF(AND(ISNUMBER(T92),T92&gt;0),U92/T92,"")</f>
        <v/>
      </c>
      <c r="W92" s="8" t="n"/>
      <c r="X92" s="8" t="inlineStr">
        <is>
          <t>NAO_ENCONTRADO</t>
        </is>
      </c>
    </row>
    <row r="93">
      <c r="A93" s="7" t="n">
        <v>17</v>
      </c>
      <c r="B93" s="7" t="inlineStr">
        <is>
          <t>RAG atual</t>
        </is>
      </c>
      <c r="C93" s="9">
        <f>INDEX(Perguntas!$B$2:$B$26,MATCH(A93,Perguntas!$A$2:$A$26,0))</f>
        <v/>
      </c>
      <c r="D93" s="9">
        <f>INDEX(Perguntas!$C$2:$C$26,MATCH(A93,Perguntas!$A$2:$A$26,0))</f>
        <v/>
      </c>
      <c r="E93" s="8" t="inlineStr">
        <is>
          <t>2026-09-23</t>
        </is>
      </c>
      <c r="F93" s="8" t="inlineStr">
        <is>
          <t>groq/openai/gpt-oss-20b k=5 (cdde83a)</t>
        </is>
      </c>
      <c r="G93" s="8" t="inlineStr">
        <is>
          <t>**Não encontrado no corpus**</t>
        </is>
      </c>
      <c r="H93" s="8" t="inlineStr">
        <is>
          <t>LGPD-2023-ANPD.pdf:p16; LGPD-2023-ANPD.pdf:p21; LGPD-2023-ANPD.pdf:p32; LGPD-2023-ANPD.pdf:p7; LGPD-2023-ANPD.pdf:p14</t>
        </is>
      </c>
      <c r="I93" s="8" t="n">
        <v>11.06</v>
      </c>
      <c r="J93" s="8" t="n">
        <v>1716</v>
      </c>
      <c r="K93" s="8" t="n">
        <v>120</v>
      </c>
      <c r="L93" s="10">
        <f>IF(COUNT(J93:K93)=2,(J93*Parametros!$B$3+K93*Parametros!$B$4)/1000000*Parametros!$B$5,"")</f>
        <v/>
      </c>
      <c r="M93" s="8" t="n"/>
      <c r="N93" s="8" t="n"/>
      <c r="O93" s="8" t="n"/>
      <c r="P93" s="8" t="n"/>
      <c r="Q93" s="8" t="n"/>
      <c r="R93" s="9">
        <f>IF(COUNT(M93:Q93)=5,SUM(M93:Q93),"")</f>
        <v/>
      </c>
      <c r="S93" s="8" t="n"/>
      <c r="T93" s="8" t="n"/>
      <c r="U93" s="8" t="n"/>
      <c r="V93" s="11">
        <f>IF(AND(ISNUMBER(T93),T93&gt;0),U93/T93,"")</f>
        <v/>
      </c>
      <c r="W93" s="8" t="n"/>
      <c r="X93" s="8" t="inlineStr">
        <is>
          <t>NAO_ENCONTRADO</t>
        </is>
      </c>
    </row>
    <row r="94">
      <c r="A94" s="7" t="n">
        <v>18</v>
      </c>
      <c r="B94" s="7" t="inlineStr">
        <is>
          <t>RAG atual</t>
        </is>
      </c>
      <c r="C94" s="9">
        <f>INDEX(Perguntas!$B$2:$B$26,MATCH(A94,Perguntas!$A$2:$A$26,0))</f>
        <v/>
      </c>
      <c r="D94" s="9">
        <f>INDEX(Perguntas!$C$2:$C$26,MATCH(A94,Perguntas!$A$2:$A$26,0))</f>
        <v/>
      </c>
      <c r="E94" s="8" t="inlineStr">
        <is>
          <t>2026-09-23</t>
        </is>
      </c>
      <c r="F94" s="8" t="inlineStr">
        <is>
          <t>groq/openai/gpt-oss-20b k=5 (cdde83a)</t>
        </is>
      </c>
      <c r="G94" s="8" t="inlineStr">
        <is>
          <t>Não encontrado no corpus.</t>
        </is>
      </c>
      <c r="H94" s="8" t="inlineStr">
        <is>
          <t>LGPD-2023-ANPD.pdf:p32; LGPD-2023-ANPD.pdf:p14; LGPD-2023-ANPD.pdf:p10; LGPD-2023-ANPD.pdf:p23</t>
        </is>
      </c>
      <c r="I94" s="8" t="n">
        <v>16.44</v>
      </c>
      <c r="J94" s="8" t="n">
        <v>1726</v>
      </c>
      <c r="K94" s="8" t="n">
        <v>395</v>
      </c>
      <c r="L94" s="10">
        <f>IF(COUNT(J94:K94)=2,(J94*Parametros!$B$3+K94*Parametros!$B$4)/1000000*Parametros!$B$5,"")</f>
        <v/>
      </c>
      <c r="M94" s="8" t="n"/>
      <c r="N94" s="8" t="n"/>
      <c r="O94" s="8" t="n"/>
      <c r="P94" s="8" t="n"/>
      <c r="Q94" s="8" t="n"/>
      <c r="R94" s="9">
        <f>IF(COUNT(M94:Q94)=5,SUM(M94:Q94),"")</f>
        <v/>
      </c>
      <c r="S94" s="8" t="n"/>
      <c r="T94" s="8" t="n"/>
      <c r="U94" s="8" t="n"/>
      <c r="V94" s="11">
        <f>IF(AND(ISNUMBER(T94),T94&gt;0),U94/T94,"")</f>
        <v/>
      </c>
      <c r="W94" s="8" t="n"/>
      <c r="X94" s="8" t="inlineStr">
        <is>
          <t>NAO_ENCONTRADO</t>
        </is>
      </c>
    </row>
    <row r="95">
      <c r="A95" s="7" t="n">
        <v>19</v>
      </c>
      <c r="B95" s="7" t="inlineStr">
        <is>
          <t>RAG atual</t>
        </is>
      </c>
      <c r="C95" s="9">
        <f>INDEX(Perguntas!$B$2:$B$26,MATCH(A95,Perguntas!$A$2:$A$26,0))</f>
        <v/>
      </c>
      <c r="D95" s="9">
        <f>INDEX(Perguntas!$C$2:$C$26,MATCH(A95,Perguntas!$A$2:$A$26,0))</f>
        <v/>
      </c>
      <c r="E95" s="8" t="inlineStr">
        <is>
          <t>2026-09-23</t>
        </is>
      </c>
      <c r="F95" s="8" t="inlineStr">
        <is>
          <t>groq/openai/gpt-oss-20b k=5 (cdde83a)</t>
        </is>
      </c>
      <c r="G95" s="8" t="inlineStr">
        <is>
          <t>**Resposta**
- **Direito de acesso à informação** – Todos têm direito a receber, no prazo legal, informações de seu interesse particular ou coletivo, contidas em documentos de arquivos.  
- **Obrigação de informar** – Se a solicitação do titular não envolve dados que estejam sujeitos a sigilo imprescindível à segurança da sociedade ou do Estado, o órgão deve disponibilizar o relatório solicitado.  
- **Exceções** – Caso a informação sobre quem consultou a matrícula seja considerada confidencial ou protegida por sigilo, o órgão pode negar o acesso, justificando a restrição conforme a legislação aplicável.</t>
        </is>
      </c>
      <c r="H95" s="8" t="inlineStr">
        <is>
          <t>manual_praticas_cartorarias_1_grau.pdf:p74; GTA_executivo_federal_7ed.pdf:p55; gta_executivo_federal_7ed.pdf:p55; curso-159994-aula-11-d0d4-completo.pdf:p24; gta_executivo_federal_7ed.pdf:p20</t>
        </is>
      </c>
      <c r="I95" s="8" t="n">
        <v>10.57</v>
      </c>
      <c r="J95" s="8" t="n">
        <v>1588</v>
      </c>
      <c r="K95" s="8" t="n">
        <v>885</v>
      </c>
      <c r="L95" s="10">
        <f>IF(COUNT(J95:K95)=2,(J95*Parametros!$B$3+K95*Parametros!$B$4)/1000000*Parametros!$B$5,"")</f>
        <v/>
      </c>
      <c r="M95" s="8" t="n"/>
      <c r="N95" s="8" t="n"/>
      <c r="O95" s="8" t="n"/>
      <c r="P95" s="8" t="n"/>
      <c r="Q95" s="8" t="n"/>
      <c r="R95" s="9">
        <f>IF(COUNT(M95:Q95)=5,SUM(M95:Q95),"")</f>
        <v/>
      </c>
      <c r="S95" s="8" t="n"/>
      <c r="T95" s="8" t="n"/>
      <c r="U95" s="8" t="n"/>
      <c r="V95" s="11">
        <f>IF(AND(ISNUMBER(T95),T95&gt;0),U95/T95,"")</f>
        <v/>
      </c>
      <c r="W95" s="8" t="n"/>
      <c r="X95" s="8" t="inlineStr">
        <is>
          <t>RESPONDIDA</t>
        </is>
      </c>
    </row>
    <row r="96">
      <c r="A96" s="7" t="n">
        <v>20</v>
      </c>
      <c r="B96" s="7" t="inlineStr">
        <is>
          <t>RAG atual</t>
        </is>
      </c>
      <c r="C96" s="9">
        <f>INDEX(Perguntas!$B$2:$B$26,MATCH(A96,Perguntas!$A$2:$A$26,0))</f>
        <v/>
      </c>
      <c r="D96" s="9">
        <f>INDEX(Perguntas!$C$2:$C$26,MATCH(A96,Perguntas!$A$2:$A$26,0))</f>
        <v/>
      </c>
      <c r="E96" s="8" t="inlineStr">
        <is>
          <t>2026-09-23</t>
        </is>
      </c>
      <c r="F96" s="8" t="inlineStr">
        <is>
          <t>groq/openai/gpt-oss-120b k=5 (cdde83a)</t>
        </is>
      </c>
      <c r="G96" s="8" t="inlineStr">
        <is>
          <t>**Art. 18.** O titular dos dados pessoais tem direito a obter do controlador, em relação aos dados do titular por ele tratados, a qualquer momento e mediante requisição:
- **III** — correção de dados incompletos, inexatos ou desatualizados.
---
### Procedimento a ser adotado
1. **Recebimento da requisição**  
   - O titular manifesta, por escrito ou por meio eletrônico, a necessidade de correção do dado errado na matrícula.
2. **Identificação do controlador**  
   - Verificar qual pessoa jurídica ou natural está realizando o tratamento da matrícula e, portanto, é responsável por atender ao pedido.
3. **Análise da solicitação**  
   - Confirmar que o dado apontado como incorreto está realmente incompleto, inexato ou desatualizado, conforme previsto no inciso **III** do art. 18.
4. **Execução da correção (retificação)**  
   - Proceder à retificação do registro da matrícula, garantindo que a informação correta passe a constar nos sistemas do controlador.
5. **Comunicação ao titular**  
   - Informar ao titular que a correção foi efetuada, indicando a data e a natureza da alteração realizada.
6. **Documentação**  
   - Arquivar a requisição e a comprovação da correção para fins de auditoria e demonstração de conformidade com a LGPD.
---
**Conclusão:**  
O pedido do titular trata‑se de um **pedido de correção de dados** previsto no **inciso III do art. 18 da LGPD**, devendo ser atendido mediante o procedimento de **retificação** do registro da matrícula.</t>
        </is>
      </c>
      <c r="H96" s="8" t="inlineStr">
        <is>
          <t>LGPD-2023-ANPD.pdf:p32; LGPD-2023-ANPD.pdf:p21; LGPD-2023-ANPD.pdf:p11; LGPD-2023-ANPD.pdf:p8; LGPD-2023-ANPD.pdf:p16</t>
        </is>
      </c>
      <c r="I96" s="8" t="n">
        <v>2.21</v>
      </c>
      <c r="J96" s="8" t="n">
        <v>1942</v>
      </c>
      <c r="K96" s="8" t="n">
        <v>528</v>
      </c>
      <c r="L96" s="10">
        <f>IF(COUNT(J96:K96)=2,(J96*Parametros!$B$3+K96*Parametros!$B$4)/1000000*Parametros!$B$5,"")</f>
        <v/>
      </c>
      <c r="M96" s="8" t="n"/>
      <c r="N96" s="8" t="n"/>
      <c r="O96" s="8" t="n"/>
      <c r="P96" s="8" t="n"/>
      <c r="Q96" s="8" t="n"/>
      <c r="R96" s="9">
        <f>IF(COUNT(M96:Q96)=5,SUM(M96:Q96),"")</f>
        <v/>
      </c>
      <c r="S96" s="8" t="n"/>
      <c r="T96" s="8" t="n"/>
      <c r="U96" s="8" t="n"/>
      <c r="V96" s="11">
        <f>IF(AND(ISNUMBER(T96),T96&gt;0),U96/T96,"")</f>
        <v/>
      </c>
      <c r="W96" s="8" t="n"/>
      <c r="X96" s="8" t="inlineStr">
        <is>
          <t>RESPONDIDA</t>
        </is>
      </c>
    </row>
    <row r="97">
      <c r="A97" s="7" t="n">
        <v>21</v>
      </c>
      <c r="B97" s="7" t="inlineStr">
        <is>
          <t>RAG atual</t>
        </is>
      </c>
      <c r="C97" s="9">
        <f>INDEX(Perguntas!$B$2:$B$26,MATCH(A97,Perguntas!$A$2:$A$26,0))</f>
        <v/>
      </c>
      <c r="D97" s="9">
        <f>INDEX(Perguntas!$C$2:$C$26,MATCH(A97,Perguntas!$A$2:$A$26,0))</f>
        <v/>
      </c>
      <c r="E97" s="8" t="inlineStr">
        <is>
          <t>2026-09-23</t>
        </is>
      </c>
      <c r="F97" s="8" t="inlineStr">
        <is>
          <t>groq/openai/gpt-oss-120b k=5 (cdde83a)</t>
        </is>
      </c>
      <c r="G97" s="8" t="inlineStr">
        <is>
          <t>Não encontrado no corpus</t>
        </is>
      </c>
      <c r="H97" s="8" t="inlineStr">
        <is>
          <t>GTA_executivo_federal_7ed.pdf:p23; gta_executivo_federal_7ed.pdf:p23; LGPD-2023-ANPD.pdf:p11; GTA_executivo_federal_7ed.pdf:p63; gta_executivo_federal_7ed.pdf:p63</t>
        </is>
      </c>
      <c r="I97" s="8" t="n">
        <v>2.09</v>
      </c>
      <c r="J97" s="8" t="n">
        <v>2052</v>
      </c>
      <c r="K97" s="8" t="n">
        <v>191</v>
      </c>
      <c r="L97" s="10">
        <f>IF(COUNT(J97:K97)=2,(J97*Parametros!$B$3+K97*Parametros!$B$4)/1000000*Parametros!$B$5,"")</f>
        <v/>
      </c>
      <c r="M97" s="8" t="n"/>
      <c r="N97" s="8" t="n"/>
      <c r="O97" s="8" t="n"/>
      <c r="P97" s="8" t="n"/>
      <c r="Q97" s="8" t="n"/>
      <c r="R97" s="9">
        <f>IF(COUNT(M97:Q97)=5,SUM(M97:Q97),"")</f>
        <v/>
      </c>
      <c r="S97" s="8" t="n"/>
      <c r="T97" s="8" t="n"/>
      <c r="U97" s="8" t="n"/>
      <c r="V97" s="11">
        <f>IF(AND(ISNUMBER(T97),T97&gt;0),U97/T97,"")</f>
        <v/>
      </c>
      <c r="W97" s="8" t="n"/>
      <c r="X97" s="8" t="inlineStr">
        <is>
          <t>NAO_ENCONTRADO</t>
        </is>
      </c>
    </row>
    <row r="98">
      <c r="A98" s="7" t="n">
        <v>22</v>
      </c>
      <c r="B98" s="7" t="inlineStr">
        <is>
          <t>RAG atual</t>
        </is>
      </c>
      <c r="C98" s="9">
        <f>INDEX(Perguntas!$B$2:$B$26,MATCH(A98,Perguntas!$A$2:$A$26,0))</f>
        <v/>
      </c>
      <c r="D98" s="9">
        <f>INDEX(Perguntas!$C$2:$C$26,MATCH(A98,Perguntas!$A$2:$A$26,0))</f>
        <v/>
      </c>
      <c r="E98" s="8" t="inlineStr">
        <is>
          <t>2026-09-23</t>
        </is>
      </c>
      <c r="F98" s="8" t="inlineStr">
        <is>
          <t>groq/openai/gpt-oss-120b k=5 (cdde83a)</t>
        </is>
      </c>
      <c r="G98" s="8" t="inlineStr">
        <is>
          <t>**Art. 8.** O consentimento do titular deve ser fornecido por escrito ou por outro meio que demonstre a manifestação de vontade, sendo vedado o tratamento mediante vício de consentimento.  
§ 2º Cabe ao controlador o ônus da prova de que o consentimento foi obtido em conformidade com o disposto nesta Lei.  
**Art. 11.** O tratamento de dados pessoais sensíveis somente poderá ocorrer nas seguintes hipóteses:
- **I** – quando o titular ou seu responsável legal consentir, de forma específica e destacada, para finalidades específicas;  
- **II** – sem fornecimento de consentimento do titular, nas hipóteses em que for indispensável para:  
  - **a** – cumprimento de obrigação legal ou regulatória pelo controlador;  
  - **b** – tratamento compartilhado de dados necessários à execução, pela administração pública, de políticas públicas previstas em leis ou regulamentos;  
  - **c** – realização de estudos por órgão de pesquisa, garantida, sempre que possível, a anonimização dos dados pessoais sensíveis.  
---  
### Aplicação ao compartilhamento com ONR/SREI e centrais eletrônicas
- Se o compartilhamento for **necessário para o cumprimento de obrigação legal ou regulatória** (por exemplo, exigido por normas que regulam a atuação do órgão ou por decisões judiciais), ele se enquadra na alínea **II‑a** do **Art. 11** e **não exige consentimento** do titular.  
- Quando o compartilhamento for **destinado à execução de políticas públicas** ou à prestação de serviços públicos por parte da administração, ele se ampara na alínea **II‑b** do **Art. 11**, também dispensando consentimento.  
- Caso nenhuma dessas hipóteses se aplique e o tratamento não seja indispensável para a finalidade descrita, será necessário obter **consentimento** conforme o **caput** e o **inciso I** do **Art. 8**.  
---  
**Conclusão:**  
Para o compartilhamento de dados com ONR/SREI e centrais eletrônicas, **não é obrigatória a obtenção de consentimento** quando o tratamento se justifica pelo cumprimento de obrigação legal ou regulatória ou pela execução de políticas públicas, nos termos do **Art. 11, incisos II‑a e II‑b**. Em situações fora dessas hipóteses, será necessária a coleta de consentimento válido conforme o **Art. 8**.</t>
        </is>
      </c>
      <c r="H98" s="8" t="inlineStr">
        <is>
          <t>LGPD-2023-ANPD.pdf:p15; LGPD-2023-ANPD.pdf:p17; GTA_executivo_federal_7ed.pdf:p16; gta_executivo_federal_7ed.pdf:p16; LGPD-2023-ANPD.pdf:p22</t>
        </is>
      </c>
      <c r="I98" s="8" t="n">
        <v>3.14</v>
      </c>
      <c r="J98" s="8" t="n">
        <v>1849</v>
      </c>
      <c r="K98" s="8" t="n">
        <v>770</v>
      </c>
      <c r="L98" s="10">
        <f>IF(COUNT(J98:K98)=2,(J98*Parametros!$B$3+K98*Parametros!$B$4)/1000000*Parametros!$B$5,"")</f>
        <v/>
      </c>
      <c r="M98" s="8" t="n"/>
      <c r="N98" s="8" t="n"/>
      <c r="O98" s="8" t="n"/>
      <c r="P98" s="8" t="n"/>
      <c r="Q98" s="8" t="n"/>
      <c r="R98" s="9">
        <f>IF(COUNT(M98:Q98)=5,SUM(M98:Q98),"")</f>
        <v/>
      </c>
      <c r="S98" s="8" t="n"/>
      <c r="T98" s="8" t="n"/>
      <c r="U98" s="8" t="n"/>
      <c r="V98" s="11">
        <f>IF(AND(ISNUMBER(T98),T98&gt;0),U98/T98,"")</f>
        <v/>
      </c>
      <c r="W98" s="8" t="n"/>
      <c r="X98" s="8" t="inlineStr">
        <is>
          <t>RESPONDIDA</t>
        </is>
      </c>
    </row>
    <row r="99">
      <c r="A99" s="7" t="n">
        <v>23</v>
      </c>
      <c r="B99" s="7" t="inlineStr">
        <is>
          <t>RAG atual</t>
        </is>
      </c>
      <c r="C99" s="9">
        <f>INDEX(Perguntas!$B$2:$B$26,MATCH(A99,Perguntas!$A$2:$A$26,0))</f>
        <v/>
      </c>
      <c r="D99" s="9">
        <f>INDEX(Perguntas!$C$2:$C$26,MATCH(A99,Perguntas!$A$2:$A$26,0))</f>
        <v/>
      </c>
      <c r="E99" s="8" t="inlineStr">
        <is>
          <t>2026-09-23</t>
        </is>
      </c>
      <c r="F99" s="8" t="inlineStr">
        <is>
          <t>groq/openai/gpt-oss-20b k=5 (cdde83a)</t>
        </is>
      </c>
      <c r="G99" s="8" t="inlineStr">
        <is>
          <t>**Não encontrado no corpus**</t>
        </is>
      </c>
      <c r="H99" s="8" t="inlineStr">
        <is>
          <t>manual_praticas_cartorarias_1_grau.pdf:p59; curso-159994-aula-05-561e-completo.pdf:p5; LGPD-2023-ANPD.pdf:p35; curso-159994-aula-05-561e-completo.pdf:p15; curso-159994-aula-04-b323-completo.pdf:p28</t>
        </is>
      </c>
      <c r="I99" s="8" t="n">
        <v>6.25</v>
      </c>
      <c r="J99" s="8" t="n">
        <v>1826</v>
      </c>
      <c r="K99" s="8" t="n">
        <v>105</v>
      </c>
      <c r="L99" s="10">
        <f>IF(COUNT(J99:K99)=2,(J99*Parametros!$B$3+K99*Parametros!$B$4)/1000000*Parametros!$B$5,"")</f>
        <v/>
      </c>
      <c r="M99" s="8" t="n"/>
      <c r="N99" s="8" t="n"/>
      <c r="O99" s="8" t="n"/>
      <c r="P99" s="8" t="n"/>
      <c r="Q99" s="8" t="n"/>
      <c r="R99" s="9">
        <f>IF(COUNT(M99:Q99)=5,SUM(M99:Q99),"")</f>
        <v/>
      </c>
      <c r="S99" s="8" t="n"/>
      <c r="T99" s="8" t="n"/>
      <c r="U99" s="8" t="n"/>
      <c r="V99" s="11">
        <f>IF(AND(ISNUMBER(T99),T99&gt;0),U99/T99,"")</f>
        <v/>
      </c>
      <c r="W99" s="8" t="n"/>
      <c r="X99" s="8" t="inlineStr">
        <is>
          <t>NAO_ENCONTRADO</t>
        </is>
      </c>
    </row>
    <row r="100">
      <c r="A100" s="7" t="n">
        <v>24</v>
      </c>
      <c r="B100" s="7" t="inlineStr">
        <is>
          <t>RAG atual</t>
        </is>
      </c>
      <c r="C100" s="9">
        <f>INDEX(Perguntas!$B$2:$B$26,MATCH(A100,Perguntas!$A$2:$A$26,0))</f>
        <v/>
      </c>
      <c r="D100" s="9">
        <f>INDEX(Perguntas!$C$2:$C$26,MATCH(A100,Perguntas!$A$2:$A$26,0))</f>
        <v/>
      </c>
      <c r="E100" s="8" t="inlineStr">
        <is>
          <t>2026-09-23</t>
        </is>
      </c>
      <c r="F100" s="8" t="inlineStr">
        <is>
          <t>groq/openai/gpt-oss-20b k=5 (cdde83a)</t>
        </is>
      </c>
      <c r="G100" s="8" t="inlineStr">
        <is>
          <t>Não encontrado no corpus.</t>
        </is>
      </c>
      <c r="H100" s="8" t="inlineStr">
        <is>
          <t>curso-159994-aula-10-aeca-completo.pdf:p21; cartilha_inss_digital_oabsp.pdf:p21; curso-159994-aula-10-bonus-4f69-completo.pdf:p20; cartilha_inss_digital_oabsp.pdf:p23; cartilha_inss_digital_oabsp.pdf:p29</t>
        </is>
      </c>
      <c r="I100" s="8" t="n">
        <v>4.11</v>
      </c>
      <c r="J100" s="8" t="n">
        <v>1554</v>
      </c>
      <c r="K100" s="8" t="n">
        <v>110</v>
      </c>
      <c r="L100" s="10">
        <f>IF(COUNT(J100:K100)=2,(J100*Parametros!$B$3+K100*Parametros!$B$4)/1000000*Parametros!$B$5,"")</f>
        <v/>
      </c>
      <c r="M100" s="8" t="n"/>
      <c r="N100" s="8" t="n"/>
      <c r="O100" s="8" t="n"/>
      <c r="P100" s="8" t="n"/>
      <c r="Q100" s="8" t="n"/>
      <c r="R100" s="9">
        <f>IF(COUNT(M100:Q100)=5,SUM(M100:Q100),"")</f>
        <v/>
      </c>
      <c r="S100" s="8" t="n"/>
      <c r="T100" s="8" t="n"/>
      <c r="U100" s="8" t="n"/>
      <c r="V100" s="11">
        <f>IF(AND(ISNUMBER(T100),T100&gt;0),U100/T100,"")</f>
        <v/>
      </c>
      <c r="W100" s="8" t="n"/>
      <c r="X100" s="8" t="inlineStr">
        <is>
          <t>NAO_ENCONTRADO</t>
        </is>
      </c>
    </row>
    <row r="101">
      <c r="A101" s="7" t="n">
        <v>25</v>
      </c>
      <c r="B101" s="7" t="inlineStr">
        <is>
          <t>RAG atual</t>
        </is>
      </c>
      <c r="C101" s="9">
        <f>INDEX(Perguntas!$B$2:$B$26,MATCH(A101,Perguntas!$A$2:$A$26,0))</f>
        <v/>
      </c>
      <c r="D101" s="9">
        <f>INDEX(Perguntas!$C$2:$C$26,MATCH(A101,Perguntas!$A$2:$A$26,0))</f>
        <v/>
      </c>
      <c r="E101" s="8" t="inlineStr">
        <is>
          <t>2026-09-23</t>
        </is>
      </c>
      <c r="F101" s="8" t="inlineStr">
        <is>
          <t>groq/openai/gpt-oss-20b k=5 (cdde83a)</t>
        </is>
      </c>
      <c r="G101" s="8" t="inlineStr">
        <is>
          <t>**Não encontrado no corpus**</t>
        </is>
      </c>
      <c r="H101" s="8" t="inlineStr">
        <is>
          <t>cartilha_inss_digital_oabsp.pdf:p18; GTA_executivo_federal_7ed.pdf:p41; gta_executivo_federal_7ed.pdf:p41; GTA_executivo_federal_7ed.pdf:p38; gta_executivo_federal_7ed.pdf:p38</t>
        </is>
      </c>
      <c r="I101" s="8" t="n">
        <v>13.25</v>
      </c>
      <c r="J101" s="8" t="n">
        <v>1908</v>
      </c>
      <c r="K101" s="8" t="n">
        <v>113</v>
      </c>
      <c r="L101" s="10">
        <f>IF(COUNT(J101:K101)=2,(J101*Parametros!$B$3+K101*Parametros!$B$4)/1000000*Parametros!$B$5,"")</f>
        <v/>
      </c>
      <c r="M101" s="8" t="n"/>
      <c r="N101" s="8" t="n"/>
      <c r="O101" s="8" t="n"/>
      <c r="P101" s="8" t="n"/>
      <c r="Q101" s="8" t="n"/>
      <c r="R101" s="9">
        <f>IF(COUNT(M101:Q101)=5,SUM(M101:Q101),"")</f>
        <v/>
      </c>
      <c r="S101" s="8" t="n"/>
      <c r="T101" s="8" t="n"/>
      <c r="U101" s="8" t="n"/>
      <c r="V101" s="11">
        <f>IF(AND(ISNUMBER(T101),T101&gt;0),U101/T101,"")</f>
        <v/>
      </c>
      <c r="W101" s="8" t="n"/>
      <c r="X101" s="8" t="inlineStr">
        <is>
          <t>NAO_ENCONTRADO</t>
        </is>
      </c>
    </row>
    <row r="102">
      <c r="A102" s="7" t="n">
        <v>1</v>
      </c>
      <c r="B102" s="7" t="inlineStr">
        <is>
          <t>RAG Fase 3</t>
        </is>
      </c>
      <c r="C102" s="9">
        <f>INDEX(Perguntas!$B$2:$B$26,MATCH(A102,Perguntas!$A$2:$A$26,0))</f>
        <v/>
      </c>
      <c r="D102" s="9">
        <f>INDEX(Perguntas!$C$2:$C$26,MATCH(A102,Perguntas!$A$2:$A$26,0))</f>
        <v/>
      </c>
      <c r="E102" s="8" t="inlineStr">
        <is>
          <t>2026-10-13</t>
        </is>
      </c>
      <c r="F102" s="8" t="inlineStr">
        <is>
          <t>groq/openai/gpt-oss-120b k=5 (26168ce)</t>
        </is>
      </c>
      <c r="G102" s="8" t="inlineStr">
        <is>
          <t>**Resposta:**  
Sim. A certidão de inteiro teor pode ser emitida ao requerente, ainda que ele seja um terceiro sem vínculo ou sem apresentar justificativa para o pedido.
**Fundamentação normativa**
1. **Lei nº 6.015/1973 – Art. 19, § 11**  
   &gt; “No âmbito do registro de imóveis, a certidão de inteiro teor da matrícula conterá a reprodução de todo seu conteúdo e será suficiente para fins de comprovação de propriedade, direitos, ônus reais e restrições sobre o imóvel, independentemente de certificação específica pelo oficial.”  
   O dispositivo não impõe a exigência de motivação ou vínculo do requerente para a expedição da certidão.
2. **Código de Normas da CGJ‑CE – Art. 1.131, §§ 1‑2**  
   &gt; “Ao receber o pedido de certidão, o Oficial fornecerá, obrigatoriamente, ao requerente protocolo… e o prazo para a entrega do documento que não poderá exceder a 05 (cinco) dias úteis… A certidão será lavrada em inteiro teor… não podendo ser retardada por mais de 5 (cinco) dias úteis.”  
   Não há previsão de necessidade de justificativa ou de vínculo do interessado; o oficial apenas cumpre o prazo e informa os custos.
3. **Provimento CNJ 149/2023 – Art. 327**  
   &gt; “A certidão de inteiro teor digital solicitada durante o horário de expediente… será emitida e disponibilizada dentro de no máximo 2 horas… e ficará disponível para download pelo requerente pelo prazo mínimo de 30 dias.”  
   O provimento regula apenas o prazo e a forma de disponibilização, não condicionando a emissão a motivo ou vínculo.
4. **Provimento CNJ 149/2023 – Art. 200** (restrição que não se aplica ao caso)  
   &gt; “É vedada a expedição de nova certidão de inteiro teor… tendo como única fonte de consulta anterior certidão expedida por unidade do serviço extrajudicial.”  
   Essa vedação refere‑se à origem da informação, não à identidade do requerente.
**Conclusão prática**  
O ato registral deve ser praticado integralmente: a serventia pode expedir a certidão de inteiro teor da matrícula ao terceiro, sem necessidade de exigir motivo ou comprovar vínculo. O oficial observará apenas os requisitos de protocolo, pagamento de emolumentos e os prazos estabelecidos nos dispositivos citados.</t>
        </is>
      </c>
      <c r="H102" s="8" t="inlineStr">
        <is>
          <t>Lei 6.015/1973 — Art. 19:p0; Código de Normas CGJ-CE — Art. 1131:p229; Provimento CNJ 149/2023 — Art. 327:p209; Provimento CNJ 149/2023 — Art. 200:p94</t>
        </is>
      </c>
      <c r="I102" s="8" t="n">
        <v>3</v>
      </c>
      <c r="J102" s="8" t="n">
        <v>1738</v>
      </c>
      <c r="K102" s="8" t="n">
        <v>816</v>
      </c>
      <c r="L102" s="10">
        <f>IF(COUNT(J102:K102)=2,(J102*Parametros!$B$3+K102*Parametros!$B$4)/1000000*Parametros!$B$5,"")</f>
        <v/>
      </c>
      <c r="M102" s="8" t="n"/>
      <c r="N102" s="8" t="n"/>
      <c r="O102" s="8" t="n"/>
      <c r="P102" s="8" t="n"/>
      <c r="Q102" s="8" t="n"/>
      <c r="R102" s="9">
        <f>IF(COUNT(M102:Q102)=5,SUM(M102:Q102),"")</f>
        <v/>
      </c>
      <c r="S102" s="8" t="n"/>
      <c r="T102" s="8" t="n">
        <v>4</v>
      </c>
      <c r="U102" s="8" t="n">
        <v>4</v>
      </c>
      <c r="V102" s="11">
        <f>IF(AND(ISNUMBER(T102),T102&gt;0),U102/T102,"")</f>
        <v/>
      </c>
      <c r="W102" s="8" t="inlineStr"/>
      <c r="X102" s="8" t="inlineStr">
        <is>
          <t>RESPONDIDA</t>
        </is>
      </c>
    </row>
    <row r="103">
      <c r="A103" s="7" t="n">
        <v>2</v>
      </c>
      <c r="B103" s="7" t="inlineStr">
        <is>
          <t>RAG Fase 3</t>
        </is>
      </c>
      <c r="C103" s="9">
        <f>INDEX(Perguntas!$B$2:$B$26,MATCH(A103,Perguntas!$A$2:$A$26,0))</f>
        <v/>
      </c>
      <c r="D103" s="9">
        <f>INDEX(Perguntas!$C$2:$C$26,MATCH(A103,Perguntas!$A$2:$A$26,0))</f>
        <v/>
      </c>
      <c r="E103" s="8" t="inlineStr">
        <is>
          <t>2026-10-13</t>
        </is>
      </c>
      <c r="F103" s="8" t="inlineStr">
        <is>
          <t>groq/openai/gpt-oss-20b k=5 (26168ce)</t>
        </is>
      </c>
      <c r="G103" s="8" t="inlineStr">
        <is>
          <t>Não encontrado no corpus.</t>
        </is>
      </c>
      <c r="H103" s="8" t="inlineStr">
        <is>
          <t>Código de Normas CGJ-CE — Art. 1502:p308; Código de Normas CGJ-CE — Art. 1131:p229; Lei 6.015/1973 — Art. 19:p0; Código de Normas CGJ-CE — Art. 1633:p333</t>
        </is>
      </c>
      <c r="I103" s="8" t="n">
        <v>0.97</v>
      </c>
      <c r="J103" s="8" t="n">
        <v>1698</v>
      </c>
      <c r="K103" s="8" t="n">
        <v>224</v>
      </c>
      <c r="L103" s="10">
        <f>IF(COUNT(J103:K103)=2,(J103*Parametros!$B$3+K103*Parametros!$B$4)/1000000*Parametros!$B$5,"")</f>
        <v/>
      </c>
      <c r="M103" s="8" t="n"/>
      <c r="N103" s="8" t="n"/>
      <c r="O103" s="8" t="n"/>
      <c r="P103" s="8" t="n"/>
      <c r="Q103" s="8" t="n"/>
      <c r="R103" s="9">
        <f>IF(COUNT(M103:Q103)=5,SUM(M103:Q103),"")</f>
        <v/>
      </c>
      <c r="S103" s="8" t="n"/>
      <c r="T103" s="8" t="n">
        <v>0</v>
      </c>
      <c r="U103" s="8" t="n">
        <v>0</v>
      </c>
      <c r="V103" s="11">
        <f>IF(AND(ISNUMBER(T103),T103&gt;0),U103/T103,"")</f>
        <v/>
      </c>
      <c r="W103" s="8" t="inlineStr"/>
      <c r="X103" s="8" t="inlineStr">
        <is>
          <t>NAO_ENCONTRADO</t>
        </is>
      </c>
    </row>
    <row r="104">
      <c r="A104" s="7" t="n">
        <v>3</v>
      </c>
      <c r="B104" s="7" t="inlineStr">
        <is>
          <t>RAG Fase 3</t>
        </is>
      </c>
      <c r="C104" s="9">
        <f>INDEX(Perguntas!$B$2:$B$26,MATCH(A104,Perguntas!$A$2:$A$26,0))</f>
        <v/>
      </c>
      <c r="D104" s="9">
        <f>INDEX(Perguntas!$C$2:$C$26,MATCH(A104,Perguntas!$A$2:$A$26,0))</f>
        <v/>
      </c>
      <c r="E104" s="8" t="inlineStr">
        <is>
          <t>2026-10-13</t>
        </is>
      </c>
      <c r="F104" s="8" t="inlineStr">
        <is>
          <t>groq/openai/gpt-oss-120b k=5 (26168ce)</t>
        </is>
      </c>
      <c r="G104" s="8" t="inlineStr">
        <is>
          <t>**Decisão:** Indeferir o pedido via **Nota Devolutiva** – a certidão deverá conter apenas os ônus reais **não cancelados**, nos termos da normativa vigente.
**Fundamentação normativa**
1. **Código de Normas da CGJ‑CE – Art. 1.129**  
   &gt; “As certidões dos imóveis que já forem objeto de matrícula eletrônica, após a ‘primeira qualificação eletrônica’, serão expedidas … contendo a situação jurídica atual do imóvel, ou seja, sua descrição, titularidade e os ônus reais **não cancelados**.”  
   O dispositivo delimita expressamente o conteúdo da certidão à situação jurídica **atual**, excluindo, portanto, ônus que já tenham sido cancelados.
2. **Código de Normas da CGJ‑CE – Art. 1.682, parágrafo único**  
   &gt; “A expedição de certidão de atos anteriores da cadeia filiatória do imóvel depende de identificação segura do requerente e de indicação da finalidade.”  
   Não há previsão de que a certidão de histórico completo (incluindo ônus cancelados) seja emitida de forma automática; sua expedição exigiria requisitos adicionais que não foram atendidos no pedido.
**Conclusão operacional**
- O pedido de certidão contendo **todo o histórico de ônus, inclusive penhoras já canceladas**, ultrapassa o escopo definido pelos artigos acima.  
- Assim, o ato registral **não deve ser praticado integralmente**.  
- O cartório deve **indeferir** o pedido mediante **Nota Devolutiva**, orientando o requerente a formular novo pedido específico, com identificação segura e indicação de finalidade, caso deseje acesso a atos anteriores da cadeia filiatória, nos termos do art. 1.682, § único.</t>
        </is>
      </c>
      <c r="H104" s="8" t="inlineStr">
        <is>
          <t>Lei 6.015/1973 — Art. 230:p0; Código de Normas CGJ-CE — Art. 1129:p229; Código de Normas CGJ-CE — Art. 1682:p345; Código de Normas CGJ-CE — Art. 1259:p256</t>
        </is>
      </c>
      <c r="I104" s="8" t="n">
        <v>2.41</v>
      </c>
      <c r="J104" s="8" t="n">
        <v>1410</v>
      </c>
      <c r="K104" s="8" t="n">
        <v>876</v>
      </c>
      <c r="L104" s="10">
        <f>IF(COUNT(J104:K104)=2,(J104*Parametros!$B$3+K104*Parametros!$B$4)/1000000*Parametros!$B$5,"")</f>
        <v/>
      </c>
      <c r="M104" s="8" t="n"/>
      <c r="N104" s="8" t="n"/>
      <c r="O104" s="8" t="n"/>
      <c r="P104" s="8" t="n"/>
      <c r="Q104" s="8" t="n"/>
      <c r="R104" s="9">
        <f>IF(COUNT(M104:Q104)=5,SUM(M104:Q104),"")</f>
        <v/>
      </c>
      <c r="S104" s="8" t="n"/>
      <c r="T104" s="8" t="n">
        <v>3</v>
      </c>
      <c r="U104" s="8" t="n">
        <v>3</v>
      </c>
      <c r="V104" s="11">
        <f>IF(AND(ISNUMBER(T104),T104&gt;0),U104/T104,"")</f>
        <v/>
      </c>
      <c r="W104" s="8" t="inlineStr"/>
      <c r="X104" s="8" t="inlineStr">
        <is>
          <t>RESPONDIDA</t>
        </is>
      </c>
    </row>
    <row r="105">
      <c r="A105" s="7" t="n">
        <v>4</v>
      </c>
      <c r="B105" s="7" t="inlineStr">
        <is>
          <t>RAG Fase 3</t>
        </is>
      </c>
      <c r="C105" s="9">
        <f>INDEX(Perguntas!$B$2:$B$26,MATCH(A105,Perguntas!$A$2:$A$26,0))</f>
        <v/>
      </c>
      <c r="D105" s="9">
        <f>INDEX(Perguntas!$C$2:$C$26,MATCH(A105,Perguntas!$A$2:$A$26,0))</f>
        <v/>
      </c>
      <c r="E105" s="8" t="inlineStr">
        <is>
          <t>2026-10-13</t>
        </is>
      </c>
      <c r="F105" s="8" t="inlineStr">
        <is>
          <t>groq/openai/gpt-oss-120b k=5 (26168ce)</t>
        </is>
      </c>
      <c r="G105" s="8" t="inlineStr">
        <is>
          <t>**Resposta:** Indeferir o pedido via **Nota Devolutiva**.
**Fundamentação normativa**
- **Código de Normas CGJ‑CE – Art. 1.128, § 2º, inc. IV**:  
  “as requisições de buscas fundadas exclusivamente no indicador pessoal ou real” são vedadas. O pedido “todos os imóveis em nome de fulano”, apresentado apenas com o nome (indicador pessoal), enquadra‑se exatamente nessa hipótese, não havendo a exigência de identificação do requerente nem de finalidade específica.
- **Lei Geral de Proteção de Dados (LGPD) – Art. 7º** (não explicitado no corpus, mas aplicável por analogia): o tratamento de dados pessoais (lista de imóveis vinculados a pessoa física) só pode ocorrer mediante consentimento ou outra hipótese legal, o que não foi demonstrado no pedido.
**Conclusão operacional**
- O registro não deve ser praticado integralmente nem com tarja protetiva; o pedido deve ser **indeferido** mediante emissão de Nota Devolutiva, informando ao solicitante a impossibilidade de atender à busca baseada exclusivamente no nome.</t>
        </is>
      </c>
      <c r="H105" s="8" t="inlineStr">
        <is>
          <t>Lei 6.015/1973 — Art. 234:p0; Lei 6.015/1973 — Art. 222:p0; Código de Normas CGJ-CE — Art. 1416:p287; Código de Normas CGJ-CE — Art. 1311:p267; Código de Normas CGJ-CE — Art. 1128:p229</t>
        </is>
      </c>
      <c r="I105" s="8" t="n">
        <v>2.37</v>
      </c>
      <c r="J105" s="8" t="n">
        <v>1483</v>
      </c>
      <c r="K105" s="8" t="n">
        <v>775</v>
      </c>
      <c r="L105" s="10">
        <f>IF(COUNT(J105:K105)=2,(J105*Parametros!$B$3+K105*Parametros!$B$4)/1000000*Parametros!$B$5,"")</f>
        <v/>
      </c>
      <c r="M105" s="8" t="n"/>
      <c r="N105" s="8" t="n"/>
      <c r="O105" s="8" t="n"/>
      <c r="P105" s="8" t="n"/>
      <c r="Q105" s="8" t="n"/>
      <c r="R105" s="9">
        <f>IF(COUNT(M105:Q105)=5,SUM(M105:Q105),"")</f>
        <v/>
      </c>
      <c r="S105" s="8" t="n"/>
      <c r="T105" s="8" t="n">
        <v>2</v>
      </c>
      <c r="U105" s="8" t="n">
        <v>1</v>
      </c>
      <c r="V105" s="11">
        <f>IF(AND(ISNUMBER(T105),T105&gt;0),U105/T105,"")</f>
        <v/>
      </c>
      <c r="W105" s="8" t="inlineStr">
        <is>
          <t>Art. 7 (LGPD (Lei 13.709/2018)) → NAO_RECUPERADA [recuperado em: nenhum trecho recuperado]</t>
        </is>
      </c>
      <c r="X105" s="8" t="inlineStr">
        <is>
          <t>RESPONDIDA</t>
        </is>
      </c>
    </row>
    <row r="106">
      <c r="A106" s="7" t="n">
        <v>5</v>
      </c>
      <c r="B106" s="7" t="inlineStr">
        <is>
          <t>RAG Fase 3</t>
        </is>
      </c>
      <c r="C106" s="9">
        <f>INDEX(Perguntas!$B$2:$B$26,MATCH(A106,Perguntas!$A$2:$A$26,0))</f>
        <v/>
      </c>
      <c r="D106" s="9">
        <f>INDEX(Perguntas!$C$2:$C$26,MATCH(A106,Perguntas!$A$2:$A$26,0))</f>
        <v/>
      </c>
      <c r="E106" s="8" t="inlineStr">
        <is>
          <t>2026-10-13</t>
        </is>
      </c>
      <c r="F106" s="8" t="inlineStr">
        <is>
          <t>groq/openai/gpt-oss-20b k=5 (26168ce)</t>
        </is>
      </c>
      <c r="G106" s="8" t="inlineStr">
        <is>
          <t>**Procedimento para busca de bens do devedor por CPF**
1. **Requerimento ao Oficial do Registro de Imóveis**  
   O credor deve protocolar um requerimento ao Oficial do Registro de Imóveis, contendo:
   - CPF e nome do devedor (e, se for casado, do cônjuge) – **Art. 1659, inciso I**;
   - Endereço residencial atual e anterior, se houver – **Art. 1659, inciso II**;
   - Endereço comercial, se houver – **Art. 1659, inciso III**;
   - Qualificação completa das partes (nome, domicílio, nacionalidade, estado civil, regime de bens, profissão, CPF ou documento de identidade) – **Art. 1.103 do Provimento 15/2026/CGJCE**.
2. **Busca de bens**  
   O Oficial, com base no CPF informado, realiza a busca no Registro de Imóveis e emite um **certificado de busca de bens** (lista de imóveis registrados em nome do CPF).  
3. **Intimação do devedor (se necessário)**  
   Caso o devedor não seja localizado nos endereços indicados, o Oficial procede à intimação conforme **Art. 1666** (intimação por hora certa, com possibilidade de intimar pessoas próximas ou funcionários de portaria, se aplicável).  
4. **Entrega do resultado**  
   O certificado de busca, acompanhado de eventuais comprovantes de intimação, é entregue ao credor, permitindo-lhe prosseguir com as medidas de cobrança ou execução.
&gt; **Resumo**: O credor solicita a busca de bens do devedor por CPF, seguindo os requisitos de Art. 1659 e Art. 1.103, e o Oficial realiza a busca e, se necessário, a intimação conforme Art. 1666.</t>
        </is>
      </c>
      <c r="H106" s="8" t="inlineStr">
        <is>
          <t>Código de Normas CGJ-CE — Art. 1666:p342; Código de Normas CGJ-CE — Art. 1659:p339; Código de Normas CGJ-CE — Art. 1621:p330; Provimento 15/2026/CGJCE — Art. 1:p2</t>
        </is>
      </c>
      <c r="I106" s="8" t="n">
        <v>2.04</v>
      </c>
      <c r="J106" s="8" t="n">
        <v>2169</v>
      </c>
      <c r="K106" s="8" t="n">
        <v>1217</v>
      </c>
      <c r="L106" s="10">
        <f>IF(COUNT(J106:K106)=2,(J106*Parametros!$B$3+K106*Parametros!$B$4)/1000000*Parametros!$B$5,"")</f>
        <v/>
      </c>
      <c r="M106" s="8" t="n"/>
      <c r="N106" s="8" t="n"/>
      <c r="O106" s="8" t="n"/>
      <c r="P106" s="8" t="n"/>
      <c r="Q106" s="8" t="n"/>
      <c r="R106" s="9">
        <f>IF(COUNT(M106:Q106)=5,SUM(M106:Q106),"")</f>
        <v/>
      </c>
      <c r="S106" s="8" t="n"/>
      <c r="T106" s="8" t="n">
        <v>4</v>
      </c>
      <c r="U106" s="8" t="n">
        <v>2</v>
      </c>
      <c r="V106" s="11">
        <f>IF(AND(ISNUMBER(T106),T106&gt;0),U106/T106,"")</f>
        <v/>
      </c>
      <c r="W106" s="8" t="inlineStr">
        <is>
          <t>Art. 1103 (Provimento 15/2026/CGJCE) → NAO_RECUPERADA [recuperado em: nenhum trecho recuperado]; Art. 1103 (norma não informada) → NAO_RECUPERADA [recuperado em: nenhum trecho recuperado]</t>
        </is>
      </c>
      <c r="X106" s="8" t="inlineStr">
        <is>
          <t>RESPONDIDA</t>
        </is>
      </c>
    </row>
    <row r="107">
      <c r="A107" s="7" t="n">
        <v>6</v>
      </c>
      <c r="B107" s="7" t="inlineStr">
        <is>
          <t>RAG Fase 3</t>
        </is>
      </c>
      <c r="C107" s="9">
        <f>INDEX(Perguntas!$B$2:$B$26,MATCH(A107,Perguntas!$A$2:$A$26,0))</f>
        <v/>
      </c>
      <c r="D107" s="9">
        <f>INDEX(Perguntas!$C$2:$C$26,MATCH(A107,Perguntas!$A$2:$A$26,0))</f>
        <v/>
      </c>
      <c r="E107" s="8" t="inlineStr">
        <is>
          <t>2026-10-13</t>
        </is>
      </c>
      <c r="F107" s="8" t="inlineStr">
        <is>
          <t>groq/openai/gpt-oss-20b k=5 (26168ce)</t>
        </is>
      </c>
      <c r="G107" s="8" t="inlineStr">
        <is>
          <t>Não encontrado no corpus.</t>
        </is>
      </c>
      <c r="H107" s="8" t="inlineStr">
        <is>
          <t>Código de Normas CGJ-CE — Art. 1394:p282; Código de Normas CGJ-CE — Art. 1456:p297; Código de Normas CGJ-CE — Art. 1386:p281; Provimento CNJ 149/2023 — Art. 426:p269; Código de Normas CGJ-CE — Art. 1364:p277</t>
        </is>
      </c>
      <c r="I107" s="8" t="n">
        <v>1.83</v>
      </c>
      <c r="J107" s="8" t="n">
        <v>1783</v>
      </c>
      <c r="K107" s="8" t="n">
        <v>671</v>
      </c>
      <c r="L107" s="10">
        <f>IF(COUNT(J107:K107)=2,(J107*Parametros!$B$3+K107*Parametros!$B$4)/1000000*Parametros!$B$5,"")</f>
        <v/>
      </c>
      <c r="M107" s="8" t="n"/>
      <c r="N107" s="8" t="n"/>
      <c r="O107" s="8" t="n"/>
      <c r="P107" s="8" t="n"/>
      <c r="Q107" s="8" t="n"/>
      <c r="R107" s="9">
        <f>IF(COUNT(M107:Q107)=5,SUM(M107:Q107),"")</f>
        <v/>
      </c>
      <c r="S107" s="8" t="n"/>
      <c r="T107" s="8" t="n">
        <v>0</v>
      </c>
      <c r="U107" s="8" t="n">
        <v>0</v>
      </c>
      <c r="V107" s="11">
        <f>IF(AND(ISNUMBER(T107),T107&gt;0),U107/T107,"")</f>
        <v/>
      </c>
      <c r="W107" s="8" t="inlineStr"/>
      <c r="X107" s="8" t="inlineStr">
        <is>
          <t>NAO_ENCONTRADO</t>
        </is>
      </c>
    </row>
    <row r="108">
      <c r="A108" s="7" t="n">
        <v>7</v>
      </c>
      <c r="B108" s="7" t="inlineStr">
        <is>
          <t>RAG Fase 3</t>
        </is>
      </c>
      <c r="C108" s="9">
        <f>INDEX(Perguntas!$B$2:$B$26,MATCH(A108,Perguntas!$A$2:$A$26,0))</f>
        <v/>
      </c>
      <c r="D108" s="9">
        <f>INDEX(Perguntas!$C$2:$C$26,MATCH(A108,Perguntas!$A$2:$A$26,0))</f>
        <v/>
      </c>
      <c r="E108" s="8" t="inlineStr">
        <is>
          <t>2026-10-13</t>
        </is>
      </c>
      <c r="F108" s="8" t="inlineStr">
        <is>
          <t>groq/openai/gpt-oss-20b k=5 (26168ce)</t>
        </is>
      </c>
      <c r="G108" s="8" t="inlineStr">
        <is>
          <t>Não encontrado no corpus.</t>
        </is>
      </c>
      <c r="H108" s="8" t="inlineStr">
        <is>
          <t>Lei 6.015/1973 — Art. 279:p0; Lei 6.015/1973 — Art. 276:p0; Código de Normas CGJ-CE — Art. 1333:p271; Lei 6.015/1973 — Art. 292:p0; Código de Normas CGJ-CE — Art. 1412:p286</t>
        </is>
      </c>
      <c r="I108" s="8" t="n">
        <v>1.03</v>
      </c>
      <c r="J108" s="8" t="n">
        <v>1175</v>
      </c>
      <c r="K108" s="8" t="n">
        <v>571</v>
      </c>
      <c r="L108" s="10">
        <f>IF(COUNT(J108:K108)=2,(J108*Parametros!$B$3+K108*Parametros!$B$4)/1000000*Parametros!$B$5,"")</f>
        <v/>
      </c>
      <c r="M108" s="8" t="n"/>
      <c r="N108" s="8" t="n"/>
      <c r="O108" s="8" t="n"/>
      <c r="P108" s="8" t="n"/>
      <c r="Q108" s="8" t="n"/>
      <c r="R108" s="9">
        <f>IF(COUNT(M108:Q108)=5,SUM(M108:Q108),"")</f>
        <v/>
      </c>
      <c r="S108" s="8" t="n"/>
      <c r="T108" s="8" t="n">
        <v>0</v>
      </c>
      <c r="U108" s="8" t="n">
        <v>0</v>
      </c>
      <c r="V108" s="11">
        <f>IF(AND(ISNUMBER(T108),T108&gt;0),U108/T108,"")</f>
        <v/>
      </c>
      <c r="W108" s="8" t="inlineStr"/>
      <c r="X108" s="8" t="inlineStr">
        <is>
          <t>NAO_ENCONTRADO</t>
        </is>
      </c>
    </row>
    <row r="109">
      <c r="A109" s="7" t="n">
        <v>8</v>
      </c>
      <c r="B109" s="7" t="inlineStr">
        <is>
          <t>RAG Fase 3</t>
        </is>
      </c>
      <c r="C109" s="9">
        <f>INDEX(Perguntas!$B$2:$B$26,MATCH(A109,Perguntas!$A$2:$A$26,0))</f>
        <v/>
      </c>
      <c r="D109" s="9">
        <f>INDEX(Perguntas!$C$2:$C$26,MATCH(A109,Perguntas!$A$2:$A$26,0))</f>
        <v/>
      </c>
      <c r="E109" s="8" t="inlineStr">
        <is>
          <t>2026-10-13</t>
        </is>
      </c>
      <c r="F109" s="8" t="inlineStr">
        <is>
          <t>groq/openai/gpt-oss-120b k=5 (26168ce)</t>
        </is>
      </c>
      <c r="G109" s="8" t="inlineStr">
        <is>
          <t>**Resposta:** Forneça a lista, porém o fornecimento deve ser realizado **integralmente, porém condicionado ao cumprimento das normas de proteção de dados** (LGPD) e ao uso da interface eletrônica prevista no Provimento CNJ 149/2023.
**Fundamentação normativa**
1. **Provimento CNJ 149/2023 – Art. 184‑A, §§ 4º, 5º e 6º**  
   &gt; “§ 4º O CNB/CF e o ONR disponibilizarão acesso aos municípios, para obtenção das informações, mediante convênio padronizado, para fins de os destinatários das informações atenderem ao disposto nas regras de proteção de dados e de sigilo fiscal.”  
   &gt; “§ 5º O acesso pode ocorrer mediante plataforma que permita aos municípios obterem, em um mesmo ambiente eletrônico, as informações.”  
   &gt; “§ 6º Caberão ao CNB/CF e ao ONR a elaboração de manual técnico em que serão estabelecidos o formato dos dados e o padrão dos programas de interface eletrônica (API), a serem utilizados no intercâmbio de dados estruturados entre as serventias extrajudiciais e as municipalidades.”
   Esses dispositivos autorizam o compartilhamento de dados cadastrais (matrícula, proprietário, CPF) com a municipalidade, **desde que obedecidos**:
   * o **convênio padronizado** entre a serventia e o município;  
   * o **manual técnico** que define o **formato** (arquivo estruturado – ex.: JSON ou XML) e a **API** a ser utilizada;  
   * as **regras de proteção de dados e sigilo fiscal** previstas na LGPD (Lei 13.709/2018).
2. **LGPD (Lei 13.709/2018)** – embora não haja artigo específico citado no corpus, a própria norma impõe que o tratamento de dados pessoais (nome, CPF) seja realizado em conformidade com os princípios de finalidade, adequação, necessidade e segurança, o que reforça a necessidade de uso da interface eletrônica prevista no provimento acima.
**Procedimento operacional**
| Etapa | Descrição | Base legal |
|------|-----------|------------|
| **a) Convênio** | Verificar a existência de convênio padronizado entre o cartório e a prefeitura. | Prov. CNJ 149/2023, art. 184‑A, § 4º |
| **b) Manual técnico** | Utilizar o manual técnico elaborado pelo CNB/CF e ONR para gerar o arquivo no formato definido (ex.: JSON / XML) e disponibilizá‑lo via API. | Prov. CNJ 149/2023, art. 184‑A, § 6º |
| **c) Proteção de dados** | Garantir que o acesso seja autenticado, que o arquivo contenha apenas os campos necessários (matrícula, nome, CPF) e que seja armazenado e transmitido com criptografia, em observância à LGPD. | LGPD – princípios de necessidade e segurança |
| **d) Registro da transmissão** | Arquivar a solicitação da prefeitura, o comprovante de envio da API e o relatório de conformidade LGPD. | Não há dispositivo específico no corpus; prática recomendada de controle interno. |
**Conclusão**
- O ato de fornecer a lista de imóveis com proprietários e CPFs à prefeitura **deve ser praticado integralmente**, porém **condicionado** ao cumprimento das exigências de **proteção de dados** e ao **uso da interface eletrônica (API) prevista** nos §§ 4º, 5º e 6º do **Art. 184‑A do Provimento CNJ 149/2023**.  
- Não há necessidade de “tarjamento protetivo” (cobertura de dados) quando o compartilhamento ocorre via canal oficial (API) e dentro do escopo do convênio, pois a proteção será assegurada pelos mecanismos de segurança da própria plataforma.  
- Caso não exista convênio ou a prefeitura exija o envio em formato físico (planilha impressa), o fornecimento **deve ser indeferido via Nota Devolutiva**, pois violaria a exigência de uso da interface eletrônica e de observância da LGPD.  
**Portanto:** forneça a lista **integralmente**, mediante a API padronizada estabelecida pelo CNB/CF e ONR, observando integralmente as regras de proteção de dados da LGPD.</t>
        </is>
      </c>
      <c r="H109" s="8" t="inlineStr">
        <is>
          <t>Código de Normas CGJ-CE — Art. 1416:p287; Código de Normas CGJ-CE — Art. 1394:p282; Código de Normas CGJ-CE — Art. 1498:p307; Provimento CNJ 149/2023 — Art. 184-A:p88</t>
        </is>
      </c>
      <c r="I109" s="8" t="n">
        <v>8.029999999999999</v>
      </c>
      <c r="J109" s="8" t="n">
        <v>2097</v>
      </c>
      <c r="K109" s="8" t="n">
        <v>1609</v>
      </c>
      <c r="L109" s="10">
        <f>IF(COUNT(J109:K109)=2,(J109*Parametros!$B$3+K109*Parametros!$B$4)/1000000*Parametros!$B$5,"")</f>
        <v/>
      </c>
      <c r="M109" s="8" t="n"/>
      <c r="N109" s="8" t="n"/>
      <c r="O109" s="8" t="n"/>
      <c r="P109" s="8" t="n"/>
      <c r="Q109" s="8" t="n"/>
      <c r="R109" s="9">
        <f>IF(COUNT(M109:Q109)=5,SUM(M109:Q109),"")</f>
        <v/>
      </c>
      <c r="S109" s="8" t="n"/>
      <c r="T109" s="8" t="n">
        <v>1</v>
      </c>
      <c r="U109" s="8" t="n">
        <v>1</v>
      </c>
      <c r="V109" s="11">
        <f>IF(AND(ISNUMBER(T109),T109&gt;0),U109/T109,"")</f>
        <v/>
      </c>
      <c r="W109" s="8" t="inlineStr"/>
      <c r="X109" s="8" t="inlineStr">
        <is>
          <t>RESPONDIDA</t>
        </is>
      </c>
    </row>
    <row r="110">
      <c r="A110" s="7" t="n">
        <v>9</v>
      </c>
      <c r="B110" s="7" t="inlineStr">
        <is>
          <t>RAG Fase 3</t>
        </is>
      </c>
      <c r="C110" s="9">
        <f>INDEX(Perguntas!$B$2:$B$26,MATCH(A110,Perguntas!$A$2:$A$26,0))</f>
        <v/>
      </c>
      <c r="D110" s="9">
        <f>INDEX(Perguntas!$C$2:$C$26,MATCH(A110,Perguntas!$A$2:$A$26,0))</f>
        <v/>
      </c>
      <c r="E110" s="8" t="inlineStr">
        <is>
          <t>2026-10-13</t>
        </is>
      </c>
      <c r="F110" s="8" t="inlineStr">
        <is>
          <t>groq/openai/gpt-oss-20b k=5 (26168ce)</t>
        </is>
      </c>
      <c r="G110" s="8" t="inlineStr">
        <is>
          <t>**Resposta Jurídica e Operacional**
O ato de fornecer os dados solicitados pela polícia, sem que exista ordem judicial que autorize tal tratamento, deve ser **indeferido por meio de Nota Devolutiva**.
**Fundamentação:**
- **Código de Normas CGJ‑CE, Art. 1128, § 4º**: “Caracterizada tentativa de tratamento de dados em desacordo com as finalidades do Registro de Imóveis e com os princípios da Lei Geral de Proteção de Dados Pessoais, poderá o Oficial recusar o fornecimento em nota fundamentada, do que caberá revisão pelo juízo competente.”
Como não há ordem judicial que autorize a divulgação dos dados pessoais do proprietário, a solicitação viola os princípios da LGPD e as finalidades do Registro de Imóveis. Portanto, o oficial deve recusar o pedido, emitindo uma Nota Devolutiva fundamentada no Art. 1128, § 4º.</t>
        </is>
      </c>
      <c r="H110" s="8" t="inlineStr">
        <is>
          <t>Código de Normas CGJ-CE — Art. 1464:p299; Lei 6.015/1973 — Art. 283:p0; Provimento CNJ 149/2023 — Art. 320-AE:p205; Código de Normas CGJ-CE — Art. 1128:p229; Provimento CNJ 149/2023 — Art. 320-AK:p206</t>
        </is>
      </c>
      <c r="I110" s="8" t="n">
        <v>1.73</v>
      </c>
      <c r="J110" s="8" t="n">
        <v>1605</v>
      </c>
      <c r="K110" s="8" t="n">
        <v>905</v>
      </c>
      <c r="L110" s="10">
        <f>IF(COUNT(J110:K110)=2,(J110*Parametros!$B$3+K110*Parametros!$B$4)/1000000*Parametros!$B$5,"")</f>
        <v/>
      </c>
      <c r="M110" s="8" t="n"/>
      <c r="N110" s="8" t="n"/>
      <c r="O110" s="8" t="n"/>
      <c r="P110" s="8" t="n"/>
      <c r="Q110" s="8" t="n"/>
      <c r="R110" s="9">
        <f>IF(COUNT(M110:Q110)=5,SUM(M110:Q110),"")</f>
        <v/>
      </c>
      <c r="S110" s="8" t="n"/>
      <c r="T110" s="8" t="n">
        <v>2</v>
      </c>
      <c r="U110" s="8" t="n">
        <v>2</v>
      </c>
      <c r="V110" s="11">
        <f>IF(AND(ISNUMBER(T110),T110&gt;0),U110/T110,"")</f>
        <v/>
      </c>
      <c r="W110" s="8" t="inlineStr"/>
      <c r="X110" s="8" t="inlineStr">
        <is>
          <t>RESPONDIDA</t>
        </is>
      </c>
    </row>
    <row r="111">
      <c r="A111" s="7" t="n">
        <v>10</v>
      </c>
      <c r="B111" s="7" t="inlineStr">
        <is>
          <t>RAG Fase 3</t>
        </is>
      </c>
      <c r="C111" s="9">
        <f>INDEX(Perguntas!$B$2:$B$26,MATCH(A111,Perguntas!$A$2:$A$26,0))</f>
        <v/>
      </c>
      <c r="D111" s="9">
        <f>INDEX(Perguntas!$C$2:$C$26,MATCH(A111,Perguntas!$A$2:$A$26,0))</f>
        <v/>
      </c>
      <c r="E111" s="8" t="inlineStr">
        <is>
          <t>2026-10-13</t>
        </is>
      </c>
      <c r="F111" s="8" t="inlineStr">
        <is>
          <t>groq/openai/gpt-oss-20b k=5 (26168ce)</t>
        </is>
      </c>
      <c r="G111" s="8" t="inlineStr">
        <is>
          <t>Não encontrado no corpus.</t>
        </is>
      </c>
      <c r="H111" s="8" t="inlineStr">
        <is>
          <t>Código de Normas CGJ-CE — Art. 1367:p277; Código de Normas CGJ-CE — Art. 1141:p232; Código de Normas CGJ-CE — Art. 1128:p229; Código de Normas CGJ-CE — Art. 1127:p229; Lei 6.015/1973 — Art. 176-O:p0</t>
        </is>
      </c>
      <c r="I111" s="8" t="n">
        <v>11.23</v>
      </c>
      <c r="J111" s="8" t="n">
        <v>1399</v>
      </c>
      <c r="K111" s="8" t="n">
        <v>651</v>
      </c>
      <c r="L111" s="10">
        <f>IF(COUNT(J111:K111)=2,(J111*Parametros!$B$3+K111*Parametros!$B$4)/1000000*Parametros!$B$5,"")</f>
        <v/>
      </c>
      <c r="M111" s="8" t="n"/>
      <c r="N111" s="8" t="n"/>
      <c r="O111" s="8" t="n"/>
      <c r="P111" s="8" t="n"/>
      <c r="Q111" s="8" t="n"/>
      <c r="R111" s="9">
        <f>IF(COUNT(M111:Q111)=5,SUM(M111:Q111),"")</f>
        <v/>
      </c>
      <c r="S111" s="8" t="n"/>
      <c r="T111" s="8" t="n">
        <v>0</v>
      </c>
      <c r="U111" s="8" t="n">
        <v>0</v>
      </c>
      <c r="V111" s="11">
        <f>IF(AND(ISNUMBER(T111),T111&gt;0),U111/T111,"")</f>
        <v/>
      </c>
      <c r="W111" s="8" t="inlineStr"/>
      <c r="X111" s="8" t="inlineStr">
        <is>
          <t>NAO_ENCONTRADO</t>
        </is>
      </c>
    </row>
    <row r="112">
      <c r="A112" s="7" t="n">
        <v>11</v>
      </c>
      <c r="B112" s="7" t="inlineStr">
        <is>
          <t>RAG Fase 3</t>
        </is>
      </c>
      <c r="C112" s="9">
        <f>INDEX(Perguntas!$B$2:$B$26,MATCH(A112,Perguntas!$A$2:$A$26,0))</f>
        <v/>
      </c>
      <c r="D112" s="9">
        <f>INDEX(Perguntas!$C$2:$C$26,MATCH(A112,Perguntas!$A$2:$A$26,0))</f>
        <v/>
      </c>
      <c r="E112" s="8" t="inlineStr">
        <is>
          <t>2026-10-13</t>
        </is>
      </c>
      <c r="F112" s="8" t="inlineStr">
        <is>
          <t>groq/openai/gpt-oss-120b k=5 (26168ce)</t>
        </is>
      </c>
      <c r="G112" s="8" t="inlineStr">
        <is>
          <t>Não encontrado no corpus.</t>
        </is>
      </c>
      <c r="H112" s="8" t="inlineStr">
        <is>
          <t>LAI (Lei 12.527/2011) — Art. 8:p0; LAI (Lei 12.527/2011) — Art. 14:p0; LAI (Lei 12.527/2011) — Art. 11:p0; LAI (Lei 12.527/2011) — Art. 41:p0</t>
        </is>
      </c>
      <c r="I112" s="8" t="n">
        <v>1.38</v>
      </c>
      <c r="J112" s="8" t="n">
        <v>1578</v>
      </c>
      <c r="K112" s="8" t="n">
        <v>396</v>
      </c>
      <c r="L112" s="10">
        <f>IF(COUNT(J112:K112)=2,(J112*Parametros!$B$3+K112*Parametros!$B$4)/1000000*Parametros!$B$5,"")</f>
        <v/>
      </c>
      <c r="M112" s="8" t="n"/>
      <c r="N112" s="8" t="n"/>
      <c r="O112" s="8" t="n"/>
      <c r="P112" s="8" t="n"/>
      <c r="Q112" s="8" t="n"/>
      <c r="R112" s="9">
        <f>IF(COUNT(M112:Q112)=5,SUM(M112:Q112),"")</f>
        <v/>
      </c>
      <c r="S112" s="8" t="n"/>
      <c r="T112" s="8" t="n">
        <v>0</v>
      </c>
      <c r="U112" s="8" t="n">
        <v>0</v>
      </c>
      <c r="V112" s="11">
        <f>IF(AND(ISNUMBER(T112),T112&gt;0),U112/T112,"")</f>
        <v/>
      </c>
      <c r="W112" s="8" t="inlineStr"/>
      <c r="X112" s="8" t="inlineStr">
        <is>
          <t>NAO_ENCONTRADO</t>
        </is>
      </c>
    </row>
    <row r="113">
      <c r="A113" s="7" t="n">
        <v>12</v>
      </c>
      <c r="B113" s="7" t="inlineStr">
        <is>
          <t>RAG Fase 3</t>
        </is>
      </c>
      <c r="C113" s="9">
        <f>INDEX(Perguntas!$B$2:$B$26,MATCH(A113,Perguntas!$A$2:$A$26,0))</f>
        <v/>
      </c>
      <c r="D113" s="9">
        <f>INDEX(Perguntas!$C$2:$C$26,MATCH(A113,Perguntas!$A$2:$A$26,0))</f>
        <v/>
      </c>
      <c r="E113" s="8" t="inlineStr">
        <is>
          <t>2026-10-13</t>
        </is>
      </c>
      <c r="F113" s="8" t="inlineStr">
        <is>
          <t>groq/openai/gpt-oss-20b k=5 (26168ce)</t>
        </is>
      </c>
      <c r="G113" s="8" t="inlineStr">
        <is>
          <t>**Resposta Jurídica e Operacional**
Sim, é dever responder ao pedido de acesso à informação sobre os emolumentos arrecadados pela serventia.
**Fundamentação normativa**
- **LAI – Art. 10**  
  - § 1º: “Qualquer interessado poderá apresentar pedido de acesso a informações … devendo o pedido conter a identificação do requerente e a especificação da informação requerida.”  
  - § 2º: “Os órgãos e entidades do poder público devem viabilizar alternativa de encaminhamento de pedidos de acesso por meio de seus sítios oficiais na internet.”  
  - § 3º: “São vedadas quaisquer exigências relativas aos motivos determinantes da solicitação de informações de interesse público.”  
- **LAI – Art. 14**  
  - “É direito do requerente obter o inteiro teor de decisão de negativa de acesso, por certidão ou cópia.”  
Portanto, a serventia deve atender ao pedido, fornecendo a informação solicitada ou, se houver motivo legítimo para negar, deve apresentar a decisão de negativa com o inteiro teor, conforme Art. 14.  
**Conclusão**  
O ato registral de resposta ao pedido via LAI deve ser praticado integralmente, obedecendo aos dispositivos citados.</t>
        </is>
      </c>
      <c r="H113" s="8" t="inlineStr">
        <is>
          <t>LAI (Lei 12.527/2011) — Art. 14:p0; Provimento CNJ 149/2023 — Art. 228-U:p134; LAI (Lei 12.527/2011) — Art. 10:p0; LAI (Lei 12.527/2011) — Art. 13:p0; Provimento CNJ 149/2023 — Art. 71-J:p35</t>
        </is>
      </c>
      <c r="I113" s="8" t="n">
        <v>11.78</v>
      </c>
      <c r="J113" s="8" t="n">
        <v>1458</v>
      </c>
      <c r="K113" s="8" t="n">
        <v>1675</v>
      </c>
      <c r="L113" s="10">
        <f>IF(COUNT(J113:K113)=2,(J113*Parametros!$B$3+K113*Parametros!$B$4)/1000000*Parametros!$B$5,"")</f>
        <v/>
      </c>
      <c r="M113" s="8" t="n"/>
      <c r="N113" s="8" t="n"/>
      <c r="O113" s="8" t="n"/>
      <c r="P113" s="8" t="n"/>
      <c r="Q113" s="8" t="n"/>
      <c r="R113" s="9">
        <f>IF(COUNT(M113:Q113)=5,SUM(M113:Q113),"")</f>
        <v/>
      </c>
      <c r="S113" s="8" t="n"/>
      <c r="T113" s="8" t="n">
        <v>3</v>
      </c>
      <c r="U113" s="8" t="n">
        <v>3</v>
      </c>
      <c r="V113" s="11">
        <f>IF(AND(ISNUMBER(T113),T113&gt;0),U113/T113,"")</f>
        <v/>
      </c>
      <c r="W113" s="8" t="inlineStr"/>
      <c r="X113" s="8" t="inlineStr">
        <is>
          <t>RESPONDIDA</t>
        </is>
      </c>
    </row>
    <row r="114">
      <c r="A114" s="7" t="n">
        <v>13</v>
      </c>
      <c r="B114" s="7" t="inlineStr">
        <is>
          <t>RAG Fase 3</t>
        </is>
      </c>
      <c r="C114" s="9">
        <f>INDEX(Perguntas!$B$2:$B$26,MATCH(A114,Perguntas!$A$2:$A$26,0))</f>
        <v/>
      </c>
      <c r="D114" s="9">
        <f>INDEX(Perguntas!$C$2:$C$26,MATCH(A114,Perguntas!$A$2:$A$26,0))</f>
        <v/>
      </c>
      <c r="E114" s="8" t="inlineStr">
        <is>
          <t>2026-10-13</t>
        </is>
      </c>
      <c r="F114" s="8" t="inlineStr">
        <is>
          <t>groq/openai/gpt-oss-20b k=5 (26168ce)</t>
        </is>
      </c>
      <c r="G114" s="8" t="inlineStr">
        <is>
          <t>**Resposta**  
A certidão não pode ser emitida sem incluir a averbação de interdição/curatela que consta na matrícula.  
**Dispositivo legal**  
- Lei 6.015/1973, Art. 19, § 11: “No âmbito do registro de imóveis, a certidão de inteiro teor da matrícula conterá a reprodução de todo seu conteúdo e será suficiente para fins de comprovação de propriedade, direitos, ônus reais e restrições sobre o imóvel, independentemente de certificação específica pelo oficial.”  
- Lei 6.015/1973, Art. 230: “Se na certidão constar ônus, o oficial fará a matrícula, e, logo em seguida ao registro, averbará a existência do ônus, sua natureza e valor, certificando o fato no título que devolverá à parte.”
**Conclusão**  
O ato deve ser **indefere via Nota Devolutiva**. A certidão de inteiro teor deve reproduzir integralmente a averbação de interdição/curatela; omiti-la violaria o disposto nos dispositivos citados.</t>
        </is>
      </c>
      <c r="H114" s="8" t="inlineStr">
        <is>
          <t>Código de Normas CGJ-CE — Art. 1131:p229; Lei 6.015/1973 — Art. 19:p0; Lei 6.015/1973 — Art. 230:p0; Código de Normas CGJ-CE — Art. 1416:p287; Provimento CNJ 149/2023 — Art. 201:p94</t>
        </is>
      </c>
      <c r="I114" s="8" t="n">
        <v>25.55</v>
      </c>
      <c r="J114" s="8" t="n">
        <v>1771</v>
      </c>
      <c r="K114" s="8" t="n">
        <v>717</v>
      </c>
      <c r="L114" s="10">
        <f>IF(COUNT(J114:K114)=2,(J114*Parametros!$B$3+K114*Parametros!$B$4)/1000000*Parametros!$B$5,"")</f>
        <v/>
      </c>
      <c r="M114" s="8" t="n"/>
      <c r="N114" s="8" t="n"/>
      <c r="O114" s="8" t="n"/>
      <c r="P114" s="8" t="n"/>
      <c r="Q114" s="8" t="n"/>
      <c r="R114" s="9">
        <f>IF(COUNT(M114:Q114)=5,SUM(M114:Q114),"")</f>
        <v/>
      </c>
      <c r="S114" s="8" t="n"/>
      <c r="T114" s="8" t="n">
        <v>2</v>
      </c>
      <c r="U114" s="8" t="n">
        <v>2</v>
      </c>
      <c r="V114" s="11">
        <f>IF(AND(ISNUMBER(T114),T114&gt;0),U114/T114,"")</f>
        <v/>
      </c>
      <c r="W114" s="8" t="inlineStr"/>
      <c r="X114" s="8" t="inlineStr">
        <is>
          <t>RESPONDIDA</t>
        </is>
      </c>
    </row>
    <row r="115">
      <c r="A115" s="7" t="n">
        <v>14</v>
      </c>
      <c r="B115" s="7" t="inlineStr">
        <is>
          <t>RAG Fase 3</t>
        </is>
      </c>
      <c r="C115" s="9">
        <f>INDEX(Perguntas!$B$2:$B$26,MATCH(A115,Perguntas!$A$2:$A$26,0))</f>
        <v/>
      </c>
      <c r="D115" s="9">
        <f>INDEX(Perguntas!$C$2:$C$26,MATCH(A115,Perguntas!$A$2:$A$26,0))</f>
        <v/>
      </c>
      <c r="E115" s="8" t="inlineStr">
        <is>
          <t>2026-10-13</t>
        </is>
      </c>
      <c r="F115" s="8" t="inlineStr">
        <is>
          <t>groq/openai/gpt-oss-20b k=5 (26168ce)</t>
        </is>
      </c>
      <c r="G115" s="8" t="inlineStr">
        <is>
          <t>**Resposta Jurídica e Operacional**
Não é necessário tarjar a averbação de doação a menor de idade (incapaz).  
**Fundamentação normativa**
- **Art. 1.267, § 1º – Código de Normas CGJ‑CE**  
  “Os relativamente incapazes poderão aceitar a doação, não constituindo óbice à lavratura do registro a inexistência de representação ou assistência destas pessoas no título apresentado.”  
- **Art. 1.267, § 3º – Código de Normas CGJ‑CE**  
  “Não se exigirá alvará judicial para a realização de doação pura e simples para menores, na forma do artigo 543 do Código Civil.”  
Esses dispositivos dispõem que a doação a menor pode ser registrada sem a necessidade de representação, assistência ou alvará judicial, e não há previsão de tarjar (proteção) nesse caso.  
**Conclusão**  
A averbação pode ser praticada integralmente, sem tarjar. Se houver dúvidas sobre a documentação, basta verificar a aceitação do menor e a ausência de impedimentos legais.</t>
        </is>
      </c>
      <c r="H115" s="8" t="inlineStr">
        <is>
          <t>Código de Normas CGJ-CE — Art. 1267:p258; Provimento CNJ 149/2023 — Art. 3 (ato de aprovação):p3; Código de Normas CGJ-CE — Art. 157:p62; Lei 6.015/1973 — Art. 247:p0; Lei 6.015/1973 — Art. 232:p0</t>
        </is>
      </c>
      <c r="I115" s="8" t="n">
        <v>9.98</v>
      </c>
      <c r="J115" s="8" t="n">
        <v>1361</v>
      </c>
      <c r="K115" s="8" t="n">
        <v>447</v>
      </c>
      <c r="L115" s="10">
        <f>IF(COUNT(J115:K115)=2,(J115*Parametros!$B$3+K115*Parametros!$B$4)/1000000*Parametros!$B$5,"")</f>
        <v/>
      </c>
      <c r="M115" s="8" t="n"/>
      <c r="N115" s="8" t="n"/>
      <c r="O115" s="8" t="n"/>
      <c r="P115" s="8" t="n"/>
      <c r="Q115" s="8" t="n"/>
      <c r="R115" s="9">
        <f>IF(COUNT(M115:Q115)=5,SUM(M115:Q115),"")</f>
        <v/>
      </c>
      <c r="S115" s="8" t="n"/>
      <c r="T115" s="8" t="n">
        <v>2</v>
      </c>
      <c r="U115" s="8" t="n">
        <v>1</v>
      </c>
      <c r="V115" s="11">
        <f>IF(AND(ISNUMBER(T115),T115&gt;0),U115/T115,"")</f>
        <v/>
      </c>
      <c r="W115" s="8" t="inlineStr">
        <is>
          <t>Art. 543 (OUTRA: codigo civil) → NAO_RECUPERADA [recuperado em: nenhum trecho recuperado]</t>
        </is>
      </c>
      <c r="X115" s="8" t="inlineStr">
        <is>
          <t>RESPONDIDA</t>
        </is>
      </c>
    </row>
    <row r="116">
      <c r="A116" s="7" t="n">
        <v>15</v>
      </c>
      <c r="B116" s="7" t="inlineStr">
        <is>
          <t>RAG Fase 3</t>
        </is>
      </c>
      <c r="C116" s="9">
        <f>INDEX(Perguntas!$B$2:$B$26,MATCH(A116,Perguntas!$A$2:$A$26,0))</f>
        <v/>
      </c>
      <c r="D116" s="9">
        <f>INDEX(Perguntas!$C$2:$C$26,MATCH(A116,Perguntas!$A$2:$A$26,0))</f>
        <v/>
      </c>
      <c r="E116" s="8" t="inlineStr">
        <is>
          <t>2026-10-13</t>
        </is>
      </c>
      <c r="F116" s="8" t="inlineStr">
        <is>
          <t>groq/openai/gpt-oss-120b k=5 (26168ce)</t>
        </is>
      </c>
      <c r="G116" s="8" t="inlineStr">
        <is>
          <t>**Resposta:** O pedido deve ser **praticado condicionado com tarjamento protetivo** (ou, na ausência de consentimento do titular, indeferido mediante Nota Devolutiva).  
---
### Fundamentação Legal
| Norma | Dispositivo | Aplicação ao caso |
|-------|-------------|-------------------|
| **LGPD – Lei 13.709/2018** | **Art. 11, inc. I** | O tratamento de dados pessoais sensíveis (dados de saúde) só pode ocorrer com consentimento **específico e destacado** do titular para a finalidade pretendida. Não há indicação de que o titular tenha consentido com a cópia do título. |
| LGPD | **Art. 11, inc. II‑e‑f** | As hipóteses de tratamento sem consentimento são: cumprimento de obrigação legal, proteção da vida/incolumidade, tutela da saúde etc. O simples fornecimento de cópia a terceiro não se enquadra em nenhuma dessas exceções. |
| LGPD | **Art. 19** | O direito de acesso (cópia integral) só pode ser exercido **pelo titular** ou por seu representante legal, mediante requisição. Se o requerente não for o titular, o acesso não é permitido. |
| **Provimento CNJ 149/2023** | **Art. 123, §§ 1‑4** | Pedidos de certidão ou cópia de documentos arquivados dependem de identificação do requerente; quando houver tentativa de tratamento em desacordo com as finalidades do Registro de Imóveis, aplica‑se o § 4º (tratamento inadequado). |
| **Código de Normas CGJ‑CE** | **Art. 1.680, §§ 1‑4** | Reforça a necessidade de identificação e indica que, na ausência de finalidade compatível, o tratamento (cópia) deve ser vetado ou limitado (tarjamento). |
| **Código de Normas CGJ‑CE** | **Art. 1.128, § 2** | Exige indicação de finalidade para pedidos de certidão de documentos arquivados sem previsão legal específica – o que se aplica ao título que contém dados de saúde. |
---
### Conclusão Operacional
1. **Verificar a identidade do requerente** – confirmar se ele é o titular dos dados de saúde ou seu representante legal.  
2. **Se o requerente for o titular** e houver **consentimento explícito** para a cópia, o documento pode ser fornecido integralmente, observando os requisitos de LGPD (art. 19).  
3. **Se o requerente não for o titular** ou não houver consentimento, o tratamento (cópia integral) viola o art. 11 da LGPD. Nesse caso:  
   - **Tarjamento protetivo** – disponibilizar a certidão ou cópia contendo apenas as informações necessárias ao ato registral, **ocultando ou anonimizando** os dados de saúde (ex.: rasurar o campo sensível).  
   - **Nota Devolutiva** – caso o tarjamento inviabilize a finalidade do pedido (ex.: a parte requer a íntegra para comprovar condição de saúde em processo judicial), o pedido deve ser indeferido mediante Nota Devolutiva, indicando a impossibilidade de fornecimento sem violação da LGPD.  
---
### Procedimento recomendado
| Etapa | Ação | Base legal |
|-------|------|------------|
| **1. Identificação** | Solicitar documento de identidade e, se necessário, procuração que comprove a qualidade de titular ou representante. | Art. 123, § 1º (CNJ) / Art. 1.680, § 1º (CGJ‑CE) |
| **2. Verificação de consentimento** | Exigir declaração assinada de consentimento específico para a cópia do título contendo dados de saúde. | LGPD, Art. 11, I |
| **3. Avaliação da finalidade** | Confirmar se a finalidade do pedido está amparada por alguma exceção do art. 11, II (ex.: tutela da saúde em procedimento médico). | LGPD, Art. 11, II |
| **4. Decisão** | - **Consentimento válido** → expedir cópia integral.&lt;br&gt;- **Sem consentimento** → aplicar tarjamento protetivo ou indeferir com Nota Devolutiva. | LGPD, Art. 11; CNJ, Art. 123, § 4º; CGJ‑CE, Art. 1.680, § 4º |
| **5. Registro** | Anotar a decisão (tarjamento ou indeferimento) no livro de notas e arquivar a cópia tarjada, se houver. | Princípio da transparência e prestação de contas (LGPD). |
---
**Resumo:**  
- **Fornecimento integral** → somente se houver **consentimento específico** do titular ou se o requerente for o próprio titular exercendo o direito de acesso (LGPD, art. 19).  
- **Tarjamento protetivo** → a solução padrão quando o requerente não for titular e não houver consentimento.  
- **Indeferimento (Nota Devolutiva)** → quando o tarjamento impossibilitar a finalidade do pedido ou quando a solicitação for manifestamente incompatível com as hipóteses de tratamento previstas no art. 11 da LGPD.  
&gt; **“Não encontrado no corpus.”** (caso a pergunta exigisse norma não presente no contexto fornecido).</t>
        </is>
      </c>
      <c r="H116" s="8" t="inlineStr">
        <is>
          <t>LGPD (Lei 13.709/2018) — Art. 11:p0; Provimento CNJ 149/2023 — Art. 123:p56; Código de Normas CGJ-CE — Art. 1128:p229; Código de Normas CGJ-CE — Art. 1680:p344; LGPD (Lei 13.709/2018) — Art. 19:p0</t>
        </is>
      </c>
      <c r="I116" s="8" t="n">
        <v>4.5</v>
      </c>
      <c r="J116" s="8" t="n">
        <v>2082</v>
      </c>
      <c r="K116" s="8" t="n">
        <v>1795</v>
      </c>
      <c r="L116" s="10">
        <f>IF(COUNT(J116:K116)=2,(J116*Parametros!$B$3+K116*Parametros!$B$4)/1000000*Parametros!$B$5,"")</f>
        <v/>
      </c>
      <c r="M116" s="8" t="n"/>
      <c r="N116" s="8" t="n"/>
      <c r="O116" s="8" t="n"/>
      <c r="P116" s="8" t="n"/>
      <c r="Q116" s="8" t="n"/>
      <c r="R116" s="9">
        <f>IF(COUNT(M116:Q116)=5,SUM(M116:Q116),"")</f>
        <v/>
      </c>
      <c r="S116" s="8" t="n"/>
      <c r="T116" s="8" t="n">
        <v>5</v>
      </c>
      <c r="U116" s="8" t="n">
        <v>5</v>
      </c>
      <c r="V116" s="11">
        <f>IF(AND(ISNUMBER(T116),T116&gt;0),U116/T116,"")</f>
        <v/>
      </c>
      <c r="W116" s="8" t="inlineStr"/>
      <c r="X116" s="8" t="inlineStr">
        <is>
          <t>RESPONDIDA</t>
        </is>
      </c>
    </row>
    <row r="117">
      <c r="A117" s="7" t="n">
        <v>16</v>
      </c>
      <c r="B117" s="7" t="inlineStr">
        <is>
          <t>RAG Fase 3</t>
        </is>
      </c>
      <c r="C117" s="9">
        <f>INDEX(Perguntas!$B$2:$B$26,MATCH(A117,Perguntas!$A$2:$A$26,0))</f>
        <v/>
      </c>
      <c r="D117" s="9">
        <f>INDEX(Perguntas!$C$2:$C$26,MATCH(A117,Perguntas!$A$2:$A$26,0))</f>
        <v/>
      </c>
      <c r="E117" s="8" t="inlineStr">
        <is>
          <t>2026-10-13</t>
        </is>
      </c>
      <c r="F117" s="8" t="inlineStr">
        <is>
          <t>groq/openai/gpt-oss-20b k=5 (26168ce)</t>
        </is>
      </c>
      <c r="G117" s="8" t="inlineStr">
        <is>
          <t>**Ato registral:** praticado integralmente, desde que atendidos os requisitos de LGPD.
**Fundamentação legal:**
- **Art. 100 do Provimento CNJ 149/2023** – “Em caso de requerimento de certidões por meio da telemática, havendo necessidade de justificação do interesse na certidão, o solicitante será identificado por meio idôneo, reconhecido pela entidade responsável pela tramitação do serviço eletrônico compartilhado da respectiva especialidade cartorial.”  
- **Art. 195 do Código de Normas CGJ‑CE** – “Em caso de requerimento de certidões por via telemática, havendo necessidade de justificação do interesse na certidão, o solicitante será identificado por meio idôneo, reconhecido pela entidade responsável pela tramitação do serviço eletrônico compartilhado da respectiva especialidade cartorial.”
**Cuidados LGPD a observar ao enviar a certidão por e‑mail/WhatsApp:**
1. **Identificação do solicitante** – confirmar a identidade do requerente por meio idôneo (ex.: assinatura digital, certificado digital, ou outro meio reconhecido pela entidade responsável).  
2. **Transmissão segura** – utilizar canais criptografados (e‑mail com TLS, WhatsApp com criptografia de ponta a ponta) para evitar interceptação de dados pessoais.  
3. **Limitação de acesso** – garantir que apenas o destinatário legítimo receba a certidão, evitando divulgação indevida.  
4. **Registro de tratamento** – documentar o envio, incluindo data, hora, destinatário e meio de transmissão, conforme exigido pela LGPD.  
5. **Consentimento ou base legal** – assegurar que o envio esteja respaldado por uma base legal adequada (ex.: consentimento do titular ou cumprimento de obrigação legal).  
**Conclusão:** O envio da certidão por e‑mail ou WhatsApp é permitido, mas deve ser realizado **integralmente** apenas após a verificação da identidade do requerente e adoção de medidas de segurança previstas na LGPD. Se esses requisitos não forem atendidos, o ato deve ser **condicionado com tarjamento protetivo** ou, em caso de descumprimento grave, **indeferido via Nota Devolutiva**.</t>
        </is>
      </c>
      <c r="H117" s="8" t="inlineStr">
        <is>
          <t>Provimento CNJ 149/2023 — Art. 124:p57; Provimento CNJ 149/2023 — Art. 105:p52; Provimento CNJ 149/2023 — Art. 100:p51; Código de Normas CGJ-CE — Art. 195:p68; Provimento CNJ 149/2023 — Art. 104:p52</t>
        </is>
      </c>
      <c r="I117" s="8" t="n">
        <v>1.87</v>
      </c>
      <c r="J117" s="8" t="n">
        <v>1176</v>
      </c>
      <c r="K117" s="8" t="n">
        <v>910</v>
      </c>
      <c r="L117" s="10">
        <f>IF(COUNT(J117:K117)=2,(J117*Parametros!$B$3+K117*Parametros!$B$4)/1000000*Parametros!$B$5,"")</f>
        <v/>
      </c>
      <c r="M117" s="8" t="n"/>
      <c r="N117" s="8" t="n"/>
      <c r="O117" s="8" t="n"/>
      <c r="P117" s="8" t="n"/>
      <c r="Q117" s="8" t="n"/>
      <c r="R117" s="9">
        <f>IF(COUNT(M117:Q117)=5,SUM(M117:Q117),"")</f>
        <v/>
      </c>
      <c r="S117" s="8" t="n"/>
      <c r="T117" s="8" t="n">
        <v>2</v>
      </c>
      <c r="U117" s="8" t="n">
        <v>2</v>
      </c>
      <c r="V117" s="11">
        <f>IF(AND(ISNUMBER(T117),T117&gt;0),U117/T117,"")</f>
        <v/>
      </c>
      <c r="W117" s="8" t="inlineStr"/>
      <c r="X117" s="8" t="inlineStr">
        <is>
          <t>RESPONDIDA</t>
        </is>
      </c>
    </row>
    <row r="118">
      <c r="A118" s="7" t="n">
        <v>17</v>
      </c>
      <c r="B118" s="7" t="inlineStr">
        <is>
          <t>RAG Fase 3</t>
        </is>
      </c>
      <c r="C118" s="9">
        <f>INDEX(Perguntas!$B$2:$B$26,MATCH(A118,Perguntas!$A$2:$A$26,0))</f>
        <v/>
      </c>
      <c r="D118" s="9">
        <f>INDEX(Perguntas!$C$2:$C$26,MATCH(A118,Perguntas!$A$2:$A$26,0))</f>
        <v/>
      </c>
      <c r="E118" s="8" t="inlineStr">
        <is>
          <t>2026-10-13</t>
        </is>
      </c>
      <c r="F118" s="8" t="inlineStr">
        <is>
          <t>groq/openai/gpt-oss-20b k=5 (26168ce)</t>
        </is>
      </c>
      <c r="G118" s="8" t="inlineStr">
        <is>
          <t>Não encontrado no corpus.</t>
        </is>
      </c>
      <c r="H118" s="8" t="inlineStr">
        <is>
          <t>Código de Normas CGJ-CE — Art. 193:p67; Provimento CNJ 149/2023 — Art. 105:p52; Provimento CNJ 149/2023 — Art. 124:p57; Provimento CNJ 149/2023 — Art. 104:p52; Provimento CNJ 149/2023 — Art. 128:p57</t>
        </is>
      </c>
      <c r="I118" s="8" t="n">
        <v>20.37</v>
      </c>
      <c r="J118" s="8" t="n">
        <v>1417</v>
      </c>
      <c r="K118" s="8" t="n">
        <v>221</v>
      </c>
      <c r="L118" s="10">
        <f>IF(COUNT(J118:K118)=2,(J118*Parametros!$B$3+K118*Parametros!$B$4)/1000000*Parametros!$B$5,"")</f>
        <v/>
      </c>
      <c r="M118" s="8" t="n"/>
      <c r="N118" s="8" t="n"/>
      <c r="O118" s="8" t="n"/>
      <c r="P118" s="8" t="n"/>
      <c r="Q118" s="8" t="n"/>
      <c r="R118" s="9">
        <f>IF(COUNT(M118:Q118)=5,SUM(M118:Q118),"")</f>
        <v/>
      </c>
      <c r="S118" s="8" t="n"/>
      <c r="T118" s="8" t="n">
        <v>0</v>
      </c>
      <c r="U118" s="8" t="n">
        <v>0</v>
      </c>
      <c r="V118" s="11">
        <f>IF(AND(ISNUMBER(T118),T118&gt;0),U118/T118,"")</f>
        <v/>
      </c>
      <c r="W118" s="8" t="inlineStr"/>
      <c r="X118" s="8" t="inlineStr">
        <is>
          <t>NAO_ENCONTRADO</t>
        </is>
      </c>
    </row>
    <row r="119">
      <c r="A119" s="7" t="n">
        <v>18</v>
      </c>
      <c r="B119" s="7" t="inlineStr">
        <is>
          <t>RAG Fase 3</t>
        </is>
      </c>
      <c r="C119" s="9">
        <f>INDEX(Perguntas!$B$2:$B$26,MATCH(A119,Perguntas!$A$2:$A$26,0))</f>
        <v/>
      </c>
      <c r="D119" s="9">
        <f>INDEX(Perguntas!$C$2:$C$26,MATCH(A119,Perguntas!$A$2:$A$26,0))</f>
        <v/>
      </c>
      <c r="E119" s="8" t="inlineStr">
        <is>
          <t>2026-10-13</t>
        </is>
      </c>
      <c r="F119" s="8" t="inlineStr">
        <is>
          <t>groq/openai/gpt-oss-20b k=5 (26168ce)</t>
        </is>
      </c>
      <c r="G119" s="8" t="inlineStr">
        <is>
          <t>**Decisão:** Praticar o ato registral integralmente – proceder à exclusão dos dados pessoais do titular da matrícula.
**Fundamentação normativa**
1. **LGPD – Art. 18, § 5º** – “O requerimento referido no § 3º deste artigo será atendido sem custos para o titular, nos prazos e nos termos previstos em regulamento.”  
   → O pedido de exclusão constitui requerimento previsto no art. 18 e, portanto, deve ser atendido.
2. **LGPD – Art. 18, § 6º** – “O responsável deverá informar, de maneira imediata, aos agentes de tratamento com os quais tenha realizado uso compartilhado de dados a correção, a eliminação, a anonimização ou o bloqueio dos dados…”  
   → Após a exclusão no cartório, o responsável deve comunicar a eliminação aos demais agentes de tratamento que eventualmente tenham recebido esses dados.
3. **LGPD – Art. 9, incisos I a VII** – Impõe ao controlador a obrigação de disponibilizar ao titular informações claras sobre a finalidade, forma e duração do tratamento, bem como os direitos do titular (art. 9, § 1º).  
   → O cartório, na qualidade de controlador, deve garantir ao titular a transparência sobre o procedimento de exclusão e confirmar que o tratamento cessará.
**Procedimento operacional**
- Receber o requerimento por escrito (ou meio eletrônico que assegure a autenticidade do titular).  
- Verificar a identidade do titular e a titularidade dos dados constantes na matrícula.  
- Efetuar a exclusão dos dados pessoais solicitados, observando a necessidade de preservação de informações indispensáveis ao registro público (ex.: dados indispensáveis à validade do ato registral, nos termos da Lei 6.015/1973 – não abordado no corpus, mas que, se necessário, será tratado mediante **tarjamento protetivo**).  
- Emitir nota de devolutiva confirmando a exclusão e informando a comunicação aos demais agentes de tratamento, nos termos do art. 18, § 6º.  
- Arquivar o procedimento conforme a política de tratamento de dados pessoais do cartório.  
**Conclusão:** Conforme o disposto no art. 18, §§ 5º e 6º da LGPD, o pedido de exclusão deve ser atendido integralmente, devendo o cartório proceder à eliminação dos dados pessoais do titular da matrícula e comunicar a eliminação aos demais agentes de tratamento.</t>
        </is>
      </c>
      <c r="H119" s="8" t="inlineStr">
        <is>
          <t>LGPD (Lei 13.709/2018) — Art. 9:p0; LGPD (Lei 13.709/2018) — Art. 18:p0; LGPD (Lei 13.709/2018) — Art. 11:p0; LGPD (Lei 13.709/2018) — Art. 4:p0; LGPD (Lei 13.709/2018) — Art. 20:p0</t>
        </is>
      </c>
      <c r="I119" s="8" t="n">
        <v>12.68</v>
      </c>
      <c r="J119" s="8" t="n">
        <v>3598</v>
      </c>
      <c r="K119" s="8" t="n">
        <v>3057</v>
      </c>
      <c r="L119" s="10">
        <f>IF(COUNT(J119:K119)=2,(J119*Parametros!$B$3+K119*Parametros!$B$4)/1000000*Parametros!$B$5,"")</f>
        <v/>
      </c>
      <c r="M119" s="8" t="n"/>
      <c r="N119" s="8" t="n"/>
      <c r="O119" s="8" t="n"/>
      <c r="P119" s="8" t="n"/>
      <c r="Q119" s="8" t="n"/>
      <c r="R119" s="9">
        <f>IF(COUNT(M119:Q119)=5,SUM(M119:Q119),"")</f>
        <v/>
      </c>
      <c r="S119" s="8" t="n"/>
      <c r="T119" s="8" t="n">
        <v>3</v>
      </c>
      <c r="U119" s="8" t="n">
        <v>3</v>
      </c>
      <c r="V119" s="11">
        <f>IF(AND(ISNUMBER(T119),T119&gt;0),U119/T119,"")</f>
        <v/>
      </c>
      <c r="W119" s="8" t="inlineStr"/>
      <c r="X119" s="8" t="inlineStr">
        <is>
          <t>RESPONDIDA</t>
        </is>
      </c>
    </row>
    <row r="120">
      <c r="A120" s="7" t="n">
        <v>19</v>
      </c>
      <c r="B120" s="7" t="inlineStr">
        <is>
          <t>RAG Fase 3</t>
        </is>
      </c>
      <c r="C120" s="9">
        <f>INDEX(Perguntas!$B$2:$B$26,MATCH(A120,Perguntas!$A$2:$A$26,0))</f>
        <v/>
      </c>
      <c r="D120" s="9">
        <f>INDEX(Perguntas!$C$2:$C$26,MATCH(A120,Perguntas!$A$2:$A$26,0))</f>
        <v/>
      </c>
      <c r="E120" s="8" t="inlineStr">
        <is>
          <t>2026-10-13</t>
        </is>
      </c>
      <c r="F120" s="8" t="inlineStr">
        <is>
          <t>groq/openai/gpt-oss-20b k=5 (26168ce)</t>
        </is>
      </c>
      <c r="G120" s="8" t="inlineStr">
        <is>
          <t>Sim.  
De acordo com o art. 18 da LGPD, “os direitos dos titulares são, em regra, exercidos em face do controlador, a quem compete, entre outras providências, **fornecer informações relativas ao tratamento**”. Como o registro de imóveis é o controlador dos dados pessoais do titular, você tem obrigação de informar quem consultou a matrícula.</t>
        </is>
      </c>
      <c r="H120" s="8" t="inlineStr">
        <is>
          <t>Guia ANPD — Agentes de Tratamento — p. 8:p8; Código de Normas CGJ-CE — Art. 1461:p299; Provimento CNJ 149/2023 — Art. 415:p265; LAI (Lei 12.527/2011) — Art. 30:p0; Provimento CNJ 149/2023 — Art. 89:p47</t>
        </is>
      </c>
      <c r="I120" s="8" t="n">
        <v>20.78</v>
      </c>
      <c r="J120" s="8" t="n">
        <v>1851</v>
      </c>
      <c r="K120" s="8" t="n">
        <v>746</v>
      </c>
      <c r="L120" s="10">
        <f>IF(COUNT(J120:K120)=2,(J120*Parametros!$B$3+K120*Parametros!$B$4)/1000000*Parametros!$B$5,"")</f>
        <v/>
      </c>
      <c r="M120" s="8" t="n"/>
      <c r="N120" s="8" t="n"/>
      <c r="O120" s="8" t="n"/>
      <c r="P120" s="8" t="n"/>
      <c r="Q120" s="8" t="n"/>
      <c r="R120" s="9">
        <f>IF(COUNT(M120:Q120)=5,SUM(M120:Q120),"")</f>
        <v/>
      </c>
      <c r="S120" s="8" t="n"/>
      <c r="T120" s="8" t="n">
        <v>1</v>
      </c>
      <c r="U120" s="8" t="n">
        <v>0</v>
      </c>
      <c r="V120" s="11">
        <f>IF(AND(ISNUMBER(T120),T120&gt;0),U120/T120,"")</f>
        <v/>
      </c>
      <c r="W120" s="8" t="inlineStr">
        <is>
          <t>Art. 18 (LGPD (Lei 13.709/2018)) → NAO_RECUPERADA [recuperado em: nenhum trecho recuperado]</t>
        </is>
      </c>
      <c r="X120" s="8" t="inlineStr">
        <is>
          <t>RESPONDIDA</t>
        </is>
      </c>
    </row>
    <row r="121">
      <c r="A121" s="7" t="n">
        <v>20</v>
      </c>
      <c r="B121" s="7" t="inlineStr">
        <is>
          <t>RAG Fase 3</t>
        </is>
      </c>
      <c r="C121" s="9">
        <f>INDEX(Perguntas!$B$2:$B$26,MATCH(A121,Perguntas!$A$2:$A$26,0))</f>
        <v/>
      </c>
      <c r="D121" s="9">
        <f>INDEX(Perguntas!$C$2:$C$26,MATCH(A121,Perguntas!$A$2:$A$26,0))</f>
        <v/>
      </c>
      <c r="E121" s="8" t="inlineStr">
        <is>
          <t>2026-10-13</t>
        </is>
      </c>
      <c r="F121" s="8" t="inlineStr">
        <is>
          <t>groq/openai/gpt-oss-120b k=5 (26168ce)</t>
        </is>
      </c>
      <c r="G121" s="8" t="inlineStr">
        <is>
          <t>**Procedimento a ser adotado:** **Retificação registral praticada integralmente** (sem tarja protetiva e sem indeferimento).
**Fundamentação normativa**
1. **Código de Normas da CGJ‑CE – Art. 1.386**  
   &gt; “No que diz respeito à retificação de dados de qualificação pessoal das partes, caberá ao Oficial do Registro de Imóveis somente retificar o erro à margem do registro (matrícula, transcrição ou inscrição) do nome e estado civil do proprietário, que deverá apresentar requerimento com firma reconhecida ou assinado digitalmente, quando comprovado:  
   &gt; a) que o nome lançado no assento não corresponde ao nome apresentado no registro civil …;  
   &gt; b) que se trata do titular do domínio.”  
   – O pedido do titular enquadra‑se exatamente na hipótese (a) e (b) do inciso acima, logo o ato de correção deve ser realizado por **retificação à margem da matrícula**, mediante requerimento formal.
2. **LGPD – Art. 18, §§ 5º e 6º** (direito à correção de dados pessoais)  
   &gt; “§ 5º O requerimento referido no § 3º deste artigo será atendido sem custos para o titular…  
   &gt; § 6º O responsável deverá informar, de maneira imediata, aos agentes de tratamento … a correção, a eliminação, a anonimização ou o bloqueio dos dados…”  
   – O titular exerce o direito de correção previsto na LGPD; o controlador (no caso, o Cartório de Registro de Imóveis) deve atender ao pedido, o que se operacionaliza mediante a **retificação registral** prevista no art. 1.386 da CGJ‑CE.
**Conclusão prática**
- O pedido deve ser **aceito** e **atendido integralmente** por meio de **retificação à margem da matrícula**, nos termos do art. 1.386 da CGJ‑CE.  
- O requerimento deve conter:  
  1. Petição assinada digitalmente ou com firma reconhecida;  
  2. Documentos comprobatórios (certidão de nascimento, casamento ou registro de estrangeiro) que demonstrem o nome correto;  
  3. Indicação clara do erro a ser corrigido.  
- Não há necessidade de tarja protetiva, pois o dado a ser corrigido não se trata de informação sensível que exija restrição de acesso.  
- O cartório deve ainda observar o disposto nos §§ 5º e 6º do art. 18 da LGPD, garantindo que a correção seja efetuada sem custos ao titular e comunicando, se houver outros agentes de tratamento, a atualização dos dados.</t>
        </is>
      </c>
      <c r="H121" s="8" t="inlineStr">
        <is>
          <t>LGPD (Lei 13.709/2018) — Art. 18:p0; LGPD (Lei 13.709/2018) — Art. 5:p0; Código de Normas CGJ-CE — Art. 1386:p281; LGPD (Lei 13.709/2018) — Art. 7:p0</t>
        </is>
      </c>
      <c r="I121" s="8" t="n">
        <v>2.64</v>
      </c>
      <c r="J121" s="8" t="n">
        <v>1776</v>
      </c>
      <c r="K121" s="8" t="n">
        <v>967</v>
      </c>
      <c r="L121" s="10">
        <f>IF(COUNT(J121:K121)=2,(J121*Parametros!$B$3+K121*Parametros!$B$4)/1000000*Parametros!$B$5,"")</f>
        <v/>
      </c>
      <c r="M121" s="8" t="n"/>
      <c r="N121" s="8" t="n"/>
      <c r="O121" s="8" t="n"/>
      <c r="P121" s="8" t="n"/>
      <c r="Q121" s="8" t="n"/>
      <c r="R121" s="9">
        <f>IF(COUNT(M121:Q121)=5,SUM(M121:Q121),"")</f>
        <v/>
      </c>
      <c r="S121" s="8" t="n"/>
      <c r="T121" s="8" t="n">
        <v>2</v>
      </c>
      <c r="U121" s="8" t="n">
        <v>2</v>
      </c>
      <c r="V121" s="11">
        <f>IF(AND(ISNUMBER(T121),T121&gt;0),U121/T121,"")</f>
        <v/>
      </c>
      <c r="W121" s="8" t="inlineStr"/>
      <c r="X121" s="8" t="inlineStr">
        <is>
          <t>RESPONDIDA</t>
        </is>
      </c>
    </row>
    <row r="122">
      <c r="A122" s="7" t="n">
        <v>21</v>
      </c>
      <c r="B122" s="7" t="inlineStr">
        <is>
          <t>RAG Fase 3</t>
        </is>
      </c>
      <c r="C122" s="9">
        <f>INDEX(Perguntas!$B$2:$B$26,MATCH(A122,Perguntas!$A$2:$A$26,0))</f>
        <v/>
      </c>
      <c r="D122" s="9">
        <f>INDEX(Perguntas!$C$2:$C$26,MATCH(A122,Perguntas!$A$2:$A$26,0))</f>
        <v/>
      </c>
      <c r="E122" s="8" t="inlineStr">
        <is>
          <t>2026-10-13</t>
        </is>
      </c>
      <c r="F122" s="8" t="inlineStr">
        <is>
          <t>groq/openai/gpt-oss-120b k=5 (26168ce)</t>
        </is>
      </c>
      <c r="G122" s="8" t="inlineStr">
        <is>
          <t>**Resposta:** Sim. O convênio pode ser firmado integralmente.
**Fundamentação normativa**
1. **Provimento CNJ 149/2023 – Art. 148** – “As entidades representativas dos notários e dos registradores poderão firmar convênio com a RFB, as Juntas Comerciais dos estados, o Departamento de Registro Empresarial e Integração (DREI), a Comissão de Valores Mobiliários (CVM) e quaisquer outros órgãos… com o objetivo de manter atualizado o cadastro de que trata esta seção.”  
2. **Provimento CNJ 149/2023 – Art. 168** – Autoriza o CNB/CF a firmar convênio com a RFB, Juntas Comerciais, DREI, CVM e demais órgãos que detenham dados sobre atos constitutivos, modificativos, extintivos ou participações societárias, visando a atualização do cadastro.  
3. **Provimento CNJ 149/2023 – Art. 334** – “O acesso dos oficiais de registro de imóveis ao Programa Gerador e Validador será feito mediante certificado digital ICP‑Brasil ou comunicação por Application Programming Interface (API).”  
**Conclusão operativa:**  
- É plenamente possível celebrar convênio com a empresa imobiliária/fintech para o acesso em lote ou via API aos dados de matrículas, nos termos dos artigos citados.  
- Não há necessidade de imposição de tarja protetiva nem de indeferimento; o ato deve ser praticado integralmente.</t>
        </is>
      </c>
      <c r="H122" s="8" t="inlineStr">
        <is>
          <t>Provimento CNJ 149/2023 — Art. 168:p83; Provimento CNJ 149/2023 — Art. 148:p71; Provimento CNJ 149/2023 — Art. 334:p212; Lei 6.015/1973 — Art. 237-A:p0; Código de Normas CGJ-CE — Art. 1167:p237</t>
        </is>
      </c>
      <c r="I122" s="8" t="n">
        <v>3.32</v>
      </c>
      <c r="J122" s="8" t="n">
        <v>1615</v>
      </c>
      <c r="K122" s="8" t="n">
        <v>637</v>
      </c>
      <c r="L122" s="10">
        <f>IF(COUNT(J122:K122)=2,(J122*Parametros!$B$3+K122*Parametros!$B$4)/1000000*Parametros!$B$5,"")</f>
        <v/>
      </c>
      <c r="M122" s="8" t="n"/>
      <c r="N122" s="8" t="n"/>
      <c r="O122" s="8" t="n"/>
      <c r="P122" s="8" t="n"/>
      <c r="Q122" s="8" t="n"/>
      <c r="R122" s="9">
        <f>IF(COUNT(M122:Q122)=5,SUM(M122:Q122),"")</f>
        <v/>
      </c>
      <c r="S122" s="8" t="n"/>
      <c r="T122" s="8" t="n">
        <v>3</v>
      </c>
      <c r="U122" s="8" t="n">
        <v>3</v>
      </c>
      <c r="V122" s="11">
        <f>IF(AND(ISNUMBER(T122),T122&gt;0),U122/T122,"")</f>
        <v/>
      </c>
      <c r="W122" s="8" t="inlineStr"/>
      <c r="X122" s="8" t="inlineStr">
        <is>
          <t>RESPONDIDA</t>
        </is>
      </c>
    </row>
    <row r="123">
      <c r="A123" s="7" t="n">
        <v>22</v>
      </c>
      <c r="B123" s="7" t="inlineStr">
        <is>
          <t>RAG Fase 3</t>
        </is>
      </c>
      <c r="C123" s="9">
        <f>INDEX(Perguntas!$B$2:$B$26,MATCH(A123,Perguntas!$A$2:$A$26,0))</f>
        <v/>
      </c>
      <c r="D123" s="9">
        <f>INDEX(Perguntas!$C$2:$C$26,MATCH(A123,Perguntas!$A$2:$A$26,0))</f>
        <v/>
      </c>
      <c r="E123" s="8" t="inlineStr">
        <is>
          <t>2026-10-13</t>
        </is>
      </c>
      <c r="F123" s="8" t="inlineStr">
        <is>
          <t>groq/openai/gpt-oss-120b k=5 (26168ce)</t>
        </is>
      </c>
      <c r="G123" s="8" t="inlineStr">
        <is>
          <t>**Resposta:** O ato registral deve ser praticado integralmente.
**Fundamentação normativa**
1. **Integração com o ONR** – O Código de Normas da CGJ‑CE, art. 1749, determina que as serventias “adotarão as medidas necessárias para a integração, diretamente com o representante legal do ONR – Operador Nacional de Registro Eletrônico de Imóveis”. Não há exigência de autorização adicional ou de consentimento do titular dos dados para essa integração.
2. **Compartilhamento de dados com centrais eletrônicas** – O Provimento CNJ 149/2023, art. 101, dispõe que “o compartilhamento de dados com centrais de serviços eletrônicos compartilhados é compatível com a proteção de dados pessoais, devendo as centrais observar a adequação, necessidade e persecução da finalidade dos dados a serem compartilhados…”. O parágrafo único ainda enfatiza a preferência pela **descentralização** das bases, evitando a transferência de bases de dados quando possível. Não há menção à necessidade de consentimento do titular para o compartilhamento nos termos previstos.
3. **Reforço da mesma regra** – O Código de Normas da CGJ‑CE, art. 196, repete integralmente o conteúdo do art. 101 do Provimento CNJ 149/2023, confirmando que o compartilhamento é permitido desde que observados os princípios de adequação, necessidade e finalidade, sem exigir consentimento adicional.
**Conclusão prática**
- Não é necessária **base legal adicional** nem **consentimento explícito** do titular dos dados para o compartilhamento com o ONR/SREI e as centrais eletrônicas, desde que o procedimento observe os requisitos de adequação, necessidade e finalidade previstos nos dispositivos citados.
- Portanto, o ato registral pode ser **praticado integralmente**, atendendo às exigências dos artigos acima mencionados.</t>
        </is>
      </c>
      <c r="H123" s="8" t="inlineStr">
        <is>
          <t>Código de Normas CGJ-CE — Art. 1749:p357; Provimento CNJ 149/2023 — Art. 101:p51; Código de Normas CGJ-CE — Art. 196:p68; Provimento CNJ 149/2023 — Art. 321:p208; Provimento CNJ 149/2023 — Art. 219:p118</t>
        </is>
      </c>
      <c r="I123" s="8" t="n">
        <v>2.11</v>
      </c>
      <c r="J123" s="8" t="n">
        <v>1529</v>
      </c>
      <c r="K123" s="8" t="n">
        <v>669</v>
      </c>
      <c r="L123" s="10">
        <f>IF(COUNT(J123:K123)=2,(J123*Parametros!$B$3+K123*Parametros!$B$4)/1000000*Parametros!$B$5,"")</f>
        <v/>
      </c>
      <c r="M123" s="8" t="n"/>
      <c r="N123" s="8" t="n"/>
      <c r="O123" s="8" t="n"/>
      <c r="P123" s="8" t="n"/>
      <c r="Q123" s="8" t="n"/>
      <c r="R123" s="9">
        <f>IF(COUNT(M123:Q123)=5,SUM(M123:Q123),"")</f>
        <v/>
      </c>
      <c r="S123" s="8" t="n"/>
      <c r="T123" s="8" t="n">
        <v>3</v>
      </c>
      <c r="U123" s="8" t="n">
        <v>3</v>
      </c>
      <c r="V123" s="11">
        <f>IF(AND(ISNUMBER(T123),T123&gt;0),U123/T123,"")</f>
        <v/>
      </c>
      <c r="W123" s="8" t="inlineStr"/>
      <c r="X123" s="8" t="inlineStr">
        <is>
          <t>RESPONDIDA</t>
        </is>
      </c>
    </row>
    <row r="124">
      <c r="A124" s="7" t="n">
        <v>23</v>
      </c>
      <c r="B124" s="7" t="inlineStr">
        <is>
          <t>RAG Fase 3</t>
        </is>
      </c>
      <c r="C124" s="9">
        <f>INDEX(Perguntas!$B$2:$B$26,MATCH(A124,Perguntas!$A$2:$A$26,0))</f>
        <v/>
      </c>
      <c r="D124" s="9">
        <f>INDEX(Perguntas!$C$2:$C$26,MATCH(A124,Perguntas!$A$2:$A$26,0))</f>
        <v/>
      </c>
      <c r="E124" s="8" t="inlineStr">
        <is>
          <t>2026-10-13</t>
        </is>
      </c>
      <c r="F124" s="8" t="inlineStr">
        <is>
          <t>groq/openai/gpt-oss-20b k=5 (26168ce)</t>
        </is>
      </c>
      <c r="G124" s="8" t="inlineStr">
        <is>
          <t>**O que mudou com o Provimento nº 15/2026/CGJCE na qualificação das partes para registro?**
O provimento alterou a redação dos dispositivos que tratam da qualificação das partes nos registros, tornando‑a mais rigorosa e detalhada. As principais mudanças são:
| Dispositivo | Alteração | Conteúdo exigido |
|-------------|-----------|------------------|
| **Art. 817, I a)** | Redação atualizada | Qualificação completa de pessoa física: nacionalidade, estado civil, profissão, número do documento de identidade e repartição expedidora, número de inscrição no CPF, filiação, domicílio e residência, nome do cônjuge ou companheiro (quando houver) e regime de bens do casamento ou da união estável (se declarado). Vedada a utilização das expressões “regime comum” ou “regime legal”. |
| **Art. 1.103, II a) e b)** | Redação atualizada | 1. **Pessoa natural**: além dos dados já citados, deve constar o número de inscrição no CPF ou documento de identidade, ou, na falta deste, a filiação. &lt;br&gt;2. **Pessoa jurídica**: denominação social, número de inscrição no CNPJ e sede. |
Essas alterações reforçam a exigência de **qualificação completa e não genérica** das partes, impedindo a prática de atos registrais com qualificação incompleta, genérica ou indeterminada (conforme o § único do Art. 1 do Provimento 15/2026/CGJCE).  
**Conclusão**: O Provimento nº 15/2026/CGJCE atualizou a qualificação das partes, exigindo que todas as informações obrigatórias estejam presentes e expressas de forma clara, sem o uso de termos genéricos.</t>
        </is>
      </c>
      <c r="H124" s="8" t="inlineStr">
        <is>
          <t>Provimento 15/2026/CGJCE — Art. 1:p2; Provimento 15/2026/CGJCE — Preâmbulo:p1</t>
        </is>
      </c>
      <c r="I124" s="8" t="n">
        <v>1.94</v>
      </c>
      <c r="J124" s="8" t="n">
        <v>1201</v>
      </c>
      <c r="K124" s="8" t="n">
        <v>1331</v>
      </c>
      <c r="L124" s="10">
        <f>IF(COUNT(J124:K124)=2,(J124*Parametros!$B$3+K124*Parametros!$B$4)/1000000*Parametros!$B$5,"")</f>
        <v/>
      </c>
      <c r="M124" s="8" t="n"/>
      <c r="N124" s="8" t="n"/>
      <c r="O124" s="8" t="n"/>
      <c r="P124" s="8" t="n"/>
      <c r="Q124" s="8" t="n"/>
      <c r="R124" s="9">
        <f>IF(COUNT(M124:Q124)=5,SUM(M124:Q124),"")</f>
        <v/>
      </c>
      <c r="S124" s="8" t="n"/>
      <c r="T124" s="8" t="n">
        <v>3</v>
      </c>
      <c r="U124" s="8" t="n">
        <v>1</v>
      </c>
      <c r="V124" s="11">
        <f>IF(AND(ISNUMBER(T124),T124&gt;0),U124/T124,"")</f>
        <v/>
      </c>
      <c r="W124" s="8" t="inlineStr">
        <is>
          <t>Art. 817 (norma não informada) → NAO_RECUPERADA [recuperado em: nenhum trecho recuperado]; Art. 1103 (norma não informada) → NAO_RECUPERADA [recuperado em: nenhum trecho recuperado]</t>
        </is>
      </c>
      <c r="X124" s="8" t="inlineStr">
        <is>
          <t>RESPONDIDA</t>
        </is>
      </c>
    </row>
    <row r="125">
      <c r="A125" s="7" t="n">
        <v>24</v>
      </c>
      <c r="B125" s="7" t="inlineStr">
        <is>
          <t>RAG Fase 3</t>
        </is>
      </c>
      <c r="C125" s="9">
        <f>INDEX(Perguntas!$B$2:$B$26,MATCH(A125,Perguntas!$A$2:$A$26,0))</f>
        <v/>
      </c>
      <c r="D125" s="9">
        <f>INDEX(Perguntas!$C$2:$C$26,MATCH(A125,Perguntas!$A$2:$A$26,0))</f>
        <v/>
      </c>
      <c r="E125" s="8" t="inlineStr">
        <is>
          <t>2026-10-13</t>
        </is>
      </c>
      <c r="F125" s="8" t="inlineStr">
        <is>
          <t>groq/openai/gpt-oss-20b k=5 (26168ce)</t>
        </is>
      </c>
      <c r="G125" s="8" t="inlineStr">
        <is>
          <t>**Requisitos para emissão de certidão digital (Código de Normas CGJ‑CE)**  
| Requisito | Dispositivo normativo |
|-----------|-----------------------|
| 1. Utilizar formulário próprio, timbrado e oficial, proibida a utilização de impressos não oficiais. | Art. 1127, § 1º, I |
| 2. Se a certidão for assinada ou enviada pela Internet, deve atender aos requisitos da Infraestrutura de Chaves Públicas Brasileira (ICP‑Brasil). | Art. 1127, § 1º, único |
| 3. Certidões de imóveis já objeto de matrícula eletrônica, após a “primeira qualificação eletrônica”, devem ser expedidas em formato nato‑digital estruturado, contendo a situação jurídica atual do imóvel (descrição, titularidade e ônus reais não cancelados). | Art. 1129 |
| 4. Para escrituração de livros em formato digital, o arquivo deve ser assinado eletronicamente com certificado digital padrão ICP‑Brasil, pode incluir carimbo do tempo e deve ser mantido na própria serventia, com cópia de segurança regular. | Art. 140, § 3º |
Esses são os requisitos expressos no Código de Normas CGJ‑CE para a emissão de certidão digital.</t>
        </is>
      </c>
      <c r="H125" s="8" t="inlineStr">
        <is>
          <t>Código de Normas CGJ-CE — Art. 1127:p229; Código de Normas CGJ-CE — Art. 1128:p229; Código de Normas CGJ-CE — Art. 1685:p345; Código de Normas CGJ-CE — Art. 1129:p229; Código de Normas CGJ-CE — Art. 140:p58</t>
        </is>
      </c>
      <c r="I125" s="8" t="n">
        <v>17.61</v>
      </c>
      <c r="J125" s="8" t="n">
        <v>1281</v>
      </c>
      <c r="K125" s="8" t="n">
        <v>696</v>
      </c>
      <c r="L125" s="10">
        <f>IF(COUNT(J125:K125)=2,(J125*Parametros!$B$3+K125*Parametros!$B$4)/1000000*Parametros!$B$5,"")</f>
        <v/>
      </c>
      <c r="M125" s="8" t="n"/>
      <c r="N125" s="8" t="n"/>
      <c r="O125" s="8" t="n"/>
      <c r="P125" s="8" t="n"/>
      <c r="Q125" s="8" t="n"/>
      <c r="R125" s="9">
        <f>IF(COUNT(M125:Q125)=5,SUM(M125:Q125),"")</f>
        <v/>
      </c>
      <c r="S125" s="8" t="n"/>
      <c r="T125" s="8" t="n">
        <v>3</v>
      </c>
      <c r="U125" s="8" t="n">
        <v>3</v>
      </c>
      <c r="V125" s="11">
        <f>IF(AND(ISNUMBER(T125),T125&gt;0),U125/T125,"")</f>
        <v/>
      </c>
      <c r="W125" s="8" t="inlineStr"/>
      <c r="X125" s="8" t="inlineStr">
        <is>
          <t>RESPONDIDA</t>
        </is>
      </c>
    </row>
    <row r="126">
      <c r="A126" s="7" t="n">
        <v>25</v>
      </c>
      <c r="B126" s="7" t="inlineStr">
        <is>
          <t>RAG Fase 3</t>
        </is>
      </c>
      <c r="C126" s="9">
        <f>INDEX(Perguntas!$B$2:$B$26,MATCH(A126,Perguntas!$A$2:$A$26,0))</f>
        <v/>
      </c>
      <c r="D126" s="9">
        <f>INDEX(Perguntas!$C$2:$C$26,MATCH(A126,Perguntas!$A$2:$A$26,0))</f>
        <v/>
      </c>
      <c r="E126" s="8" t="inlineStr">
        <is>
          <t>2026-10-13</t>
        </is>
      </c>
      <c r="F126" s="8" t="inlineStr">
        <is>
          <t>groq/openai/gpt-oss-20b k=5 (26168ce)</t>
        </is>
      </c>
      <c r="G126" s="8" t="inlineStr">
        <is>
          <t>**Obrigação da serventia**  
O envio de uma certidão contendo dados pessoais para o e‑mail errado configura, no mínimo, um erro de tratamento de dados que exige correção imediata e medidas de mitigação, nos termos das normas de proteção de dados aplicáveis à serventia.
| O que deve ser feito | Dispositivo normativo que fundamenta |
|----------------------|--------------------------------------|
| **Corrigir o envio** – a serventia deve reenviar a certidão ao destinatário correto e impedir a divulgação indevida. | Art. 103 do Provimento CNJ 149/2023 – “o responsável pela serventia extrajudicial efetuará, sempre que possível, a criptografia ou a pseudonimização de dados pessoais para o acesso a informações ou transferência dos dados para terceiros.” |
| **Aplicar criptografia ou pseudonimização** – caso a certidão contenha dados sensíveis ou de natureza pessoal, a serventia deve, sempre que possível, proteger esses dados antes de qualquer reenvio ou correção. | Art. 103 do Provimento CNJ 149/2023 |
| **Garantir a conformidade com a LGPD** – a serventia deve assegurar que o tratamento de dados pessoais, inclusive a correção de erro, esteja em conformidade com os princípios, fundamentos e obrigações da Lei Geral de Proteção de Dados. | Art. 178 do Código de Normas CGJ‑CE |
| **Fornecer transparência ao titular** – a serventia deve disponibilizar, de forma clara e acessível, informações sobre o tratamento de dados, incluindo a ocorrência do erro e as medidas adotadas para corrigi‑lo. | Art. 97 do Provimento CNJ 149/2023 (aviso de privacidade e proteção de dados) |
| **Identificar o solicitante** – se a certidão foi solicitada por meio telemático, a serventia deve ter identificado o solicitante de forma idônea, conforme exigido para a tramitação do serviço eletrônico. | Art. 100 do Provimento CNJ 149/2023 |
Em síntese, a serventia deve:  
1. **Corrigir imediatamente** o envio incorreto;  
2. **Aplicar criptografia ou pseudonimização** (se possível) antes de reenviar ou corrigir a certidão;  
3. **Assegurar a conformidade com a LGPD** (Art. 178);  
4. **Fornecer transparência** ao titular dos dados (Art. 97); e  
5. **Confirmar a identificação do solicitante** (Art. 100).</t>
        </is>
      </c>
      <c r="H126" s="8" t="inlineStr">
        <is>
          <t>Provimento CNJ 149/2023 — Art. 103:p52; Provimento CNJ 149/2023 — Art. 105:p52; Provimento CNJ 149/2023 — Art. 100:p51; Código de Normas CGJ-CE — Art. 178:p65; Provimento CNJ 149/2023 — Art. 97:p50</t>
        </is>
      </c>
      <c r="I126" s="8" t="n">
        <v>16.63</v>
      </c>
      <c r="J126" s="8" t="n">
        <v>1276</v>
      </c>
      <c r="K126" s="8" t="n">
        <v>1180</v>
      </c>
      <c r="L126" s="10">
        <f>IF(COUNT(J126:K126)=2,(J126*Parametros!$B$3+K126*Parametros!$B$4)/1000000*Parametros!$B$5,"")</f>
        <v/>
      </c>
      <c r="M126" s="8" t="n"/>
      <c r="N126" s="8" t="n"/>
      <c r="O126" s="8" t="n"/>
      <c r="P126" s="8" t="n"/>
      <c r="Q126" s="8" t="n"/>
      <c r="R126" s="9">
        <f>IF(COUNT(M126:Q126)=5,SUM(M126:Q126),"")</f>
        <v/>
      </c>
      <c r="S126" s="8" t="n"/>
      <c r="T126" s="8" t="n">
        <v>7</v>
      </c>
      <c r="U126" s="8" t="n">
        <v>6</v>
      </c>
      <c r="V126" s="11">
        <f>IF(AND(ISNUMBER(T126),T126&gt;0),U126/T126,"")</f>
        <v/>
      </c>
      <c r="W126" s="8" t="inlineStr">
        <is>
          <t>Art. 178 (LGPD (Lei 13.709/2018)) → NORMA_DIVERGENTE [recuperado em: Código de Normas CGJ-CE]</t>
        </is>
      </c>
      <c r="X126" s="8" t="inlineStr">
        <is>
          <t>RESPONDIDA</t>
        </is>
      </c>
    </row>
  </sheetData>
  <autoFilter ref="A1:X126"/>
  <conditionalFormatting sqref="R2:R126">
    <cfRule type="cellIs" priority="1" operator="greaterThanOrEqual" dxfId="0">
      <formula>8</formula>
    </cfRule>
    <cfRule type="cellIs" priority="2" operator="lessThan" dxfId="1">
      <formula>6</formula>
    </cfRule>
  </conditionalFormatting>
  <dataValidations count="1">
    <dataValidation sqref="M2:Q126" showDropDown="0" showInputMessage="0" showErrorMessage="1" allowBlank="1" error="Use 0, 1 ou 2" type="list">
      <formula1>"0,1,2"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60" customWidth="1" min="4" max="4"/>
  </cols>
  <sheetData>
    <row r="1">
      <c r="A1" s="6" t="inlineStr">
        <is>
          <t>Parâmetro</t>
        </is>
      </c>
      <c r="B1" s="6" t="inlineStr">
        <is>
          <t>Valor</t>
        </is>
      </c>
      <c r="C1" s="6" t="inlineStr"/>
      <c r="D1" s="6" t="inlineStr">
        <is>
          <t>Fonte / observação</t>
        </is>
      </c>
    </row>
    <row r="2">
      <c r="A2" s="3" t="inlineStr">
        <is>
          <t>Modelo do RAG</t>
        </is>
      </c>
      <c r="B2" s="8" t="inlineStr">
        <is>
          <t>Groq openai/gpt-oss-20b / 120b</t>
        </is>
      </c>
      <c r="D2" s="2" t="inlineStr">
        <is>
          <t>CHEAP/PREMIUM_MODEL do .env; o script registra o modelo real em 'Versão / plano'</t>
        </is>
      </c>
    </row>
    <row r="3">
      <c r="A3" s="3" t="inlineStr">
        <is>
          <t>Preço entrada (US$ / 1M tokens)</t>
        </is>
      </c>
      <c r="B3" s="8" t="n">
        <v>0.15</v>
      </c>
      <c r="D3" s="2" t="inlineStr">
        <is>
          <t>Premissa: preço do gpt-oss-120b na Groq (teto; o 20b é mais barato). Conferir em groq.com/pricing</t>
        </is>
      </c>
    </row>
    <row r="4">
      <c r="A4" s="3" t="inlineStr">
        <is>
          <t>Preço saída (US$ / 1M tokens)</t>
        </is>
      </c>
      <c r="B4" s="8" t="n">
        <v>0.6</v>
      </c>
      <c r="D4" s="2" t="inlineStr">
        <is>
          <t>Premissa: preço do gpt-oss-120b na Groq (teto; o 20b é mais barato). Conferir em groq.com/pricing</t>
        </is>
      </c>
    </row>
    <row r="5">
      <c r="A5" s="3" t="inlineStr">
        <is>
          <t>Câmbio (R$ / US$)</t>
        </is>
      </c>
      <c r="B5" s="8" t="n">
        <v>5.5</v>
      </c>
      <c r="D5" s="2" t="inlineStr">
        <is>
          <t>Premissa: atualizar com a cotação do dia da coleta</t>
        </is>
      </c>
    </row>
    <row r="8">
      <c r="A8" s="3" t="inlineStr">
        <is>
          <t>Custo dos concorrentes</t>
        </is>
      </c>
    </row>
    <row r="9">
      <c r="A9" s="6" t="inlineStr">
        <is>
          <t>Ferramenta</t>
        </is>
      </c>
      <c r="B9" s="6" t="inlineStr">
        <is>
          <t>Assinatura mensal (R$)</t>
        </is>
      </c>
      <c r="C9" s="6" t="inlineStr">
        <is>
          <t>Consultas / mês estimadas</t>
        </is>
      </c>
      <c r="D9" s="6" t="inlineStr">
        <is>
          <t>Custo por consulta (R$)</t>
        </is>
      </c>
    </row>
    <row r="10">
      <c r="A10" s="7" t="inlineStr">
        <is>
          <t>Jus IA</t>
        </is>
      </c>
      <c r="B10" s="8" t="n"/>
      <c r="C10" s="8" t="n"/>
      <c r="D10" s="12">
        <f>IF(AND(ISNUMBER(B10),ISNUMBER(C10),C10&gt;0),B10/C10,"")</f>
        <v/>
      </c>
    </row>
    <row r="11">
      <c r="A11" s="7" t="inlineStr">
        <is>
          <t>Jurídico AI</t>
        </is>
      </c>
      <c r="B11" s="8" t="n"/>
      <c r="C11" s="8" t="n"/>
      <c r="D11" s="12">
        <f>IF(AND(ISNUMBER(B11),ISNUMBER(C11),C11&gt;0),B11/C11,"")</f>
        <v/>
      </c>
    </row>
    <row r="12">
      <c r="A12" s="7" t="inlineStr">
        <is>
          <t>LLM genérico</t>
        </is>
      </c>
      <c r="B12" s="8" t="n"/>
      <c r="C12" s="8" t="n"/>
      <c r="D12" s="12">
        <f>IF(AND(ISNUMBER(B12),ISNUMBER(C12),C12&gt;0),B12/C12,"")</f>
        <v/>
      </c>
    </row>
    <row r="14">
      <c r="A14" s="2" t="inlineStr">
        <is>
          <t>O custo por consulta dos RAGs vem dos tokens medidos (aba Respostas).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Resumo do benchmark</t>
        </is>
      </c>
    </row>
    <row r="3" ht="30" customHeight="1">
      <c r="A3" s="6" t="inlineStr">
        <is>
          <t>Ferramenta</t>
        </is>
      </c>
      <c r="B3" s="6" t="inlineStr">
        <is>
          <t>Avaliadas</t>
        </is>
      </c>
      <c r="C3" s="6" t="inlineStr">
        <is>
          <t>Nota média (0-10)</t>
        </is>
      </c>
      <c r="D3" s="6" t="inlineStr">
        <is>
          <t>Veredito</t>
        </is>
      </c>
      <c r="E3" s="6" t="inlineStr">
        <is>
          <t>Fundamentação</t>
        </is>
      </c>
      <c r="F3" s="6" t="inlineStr">
        <is>
          <t>Norma CE</t>
        </is>
      </c>
      <c r="G3" s="6" t="inlineStr">
        <is>
          <t>Acionável</t>
        </is>
      </c>
      <c r="H3" s="6" t="inlineStr">
        <is>
          <t>Sem alucinação</t>
        </is>
      </c>
      <c r="I3" s="6" t="inlineStr">
        <is>
          <t>% notas ≥ 8</t>
        </is>
      </c>
      <c r="J3" s="6" t="inlineStr">
        <is>
          <t>Latência média (s)</t>
        </is>
      </c>
      <c r="K3" s="6" t="inlineStr">
        <is>
          <t>Custo / consulta (R$)</t>
        </is>
      </c>
      <c r="L3" s="6" t="inlineStr">
        <is>
          <t>Taxa verificável (citações)</t>
        </is>
      </c>
      <c r="M3" s="6" t="inlineStr">
        <is>
          <t>Respondidas</t>
        </is>
      </c>
      <c r="N3" s="6" t="inlineStr">
        <is>
          <t>Não encontrado</t>
        </is>
      </c>
      <c r="O3" s="6" t="inlineStr">
        <is>
          <t>Resposta vazia</t>
        </is>
      </c>
    </row>
    <row r="4">
      <c r="A4" s="7" t="inlineStr">
        <is>
          <t>Jus IA</t>
        </is>
      </c>
      <c r="B4" s="9">
        <f>COUNTIFS(Respostas!$B$2:$B$126,$A4,Respostas!$R$2:$R$126,"&gt;=0")</f>
        <v/>
      </c>
      <c r="C4" s="12">
        <f>IF(B4=0,"",AVERAGEIFS(Respostas!$R$2:$R$126,Respostas!$B$2:$B$126,$A4))</f>
        <v/>
      </c>
      <c r="D4" s="12">
        <f>IF(B4=0,"",AVERAGEIFS(Respostas!$M$2:$M$126,Respostas!$B$2:$B$126,$A4,Respostas!$R$2:$R$126,"&gt;=0"))</f>
        <v/>
      </c>
      <c r="E4" s="12">
        <f>IF(B4=0,"",AVERAGEIFS(Respostas!$N$2:$N$126,Respostas!$B$2:$B$126,$A4,Respostas!$R$2:$R$126,"&gt;=0"))</f>
        <v/>
      </c>
      <c r="F4" s="12">
        <f>IF(B4=0,"",AVERAGEIFS(Respostas!$O$2:$O$126,Respostas!$B$2:$B$126,$A4,Respostas!$R$2:$R$126,"&gt;=0"))</f>
        <v/>
      </c>
      <c r="G4" s="12">
        <f>IF(B4=0,"",AVERAGEIFS(Respostas!$P$2:$P$126,Respostas!$B$2:$B$126,$A4,Respostas!$R$2:$R$126,"&gt;=0"))</f>
        <v/>
      </c>
      <c r="H4" s="12">
        <f>IF(B4=0,"",AVERAGEIFS(Respostas!$Q$2:$Q$126,Respostas!$B$2:$B$126,$A4,Respostas!$R$2:$R$126,"&gt;=0"))</f>
        <v/>
      </c>
      <c r="I4" s="11">
        <f>IF(B4=0,"",COUNTIFS(Respostas!$B$2:$B$126,$A4,Respostas!$R$2:$R$126,"&gt;=8")/B4)</f>
        <v/>
      </c>
      <c r="J4" s="12">
        <f>IF(COUNTIFS(Respostas!$B$2:$B$126,$A4,Respostas!$I$2:$I$126,"&gt;=0")=0,"",AVERAGEIFS(Respostas!$I$2:$I$126,Respostas!$B$2:$B$126,$A4))</f>
        <v/>
      </c>
      <c r="K4" s="10">
        <f>IF(ISNUMBER(Parametros!$D$10),Parametros!$D$10,"")</f>
        <v/>
      </c>
      <c r="L4" s="11">
        <f>IF(SUMIFS(Respostas!$T$2:$T$126,Respostas!$B$2:$B$126,$A4)=0,"",SUMIFS(Respostas!$U$2:$U$126,Respostas!$B$2:$B$126,$A4)/SUMIFS(Respostas!$T$2:$T$126,Respostas!$B$2:$B$126,$A4))</f>
        <v/>
      </c>
      <c r="M4" s="9">
        <f>COUNTIFS(Respostas!$B$2:$B$126,$A4,Respostas!$X$2:$X$126,"RESPONDIDA")</f>
        <v/>
      </c>
      <c r="N4" s="9">
        <f>COUNTIFS(Respostas!$B$2:$B$126,$A4,Respostas!$X$2:$X$126,"NAO_ENCONTRADO")</f>
        <v/>
      </c>
      <c r="O4" s="9">
        <f>COUNTIFS(Respostas!$B$2:$B$126,$A4,Respostas!$X$2:$X$126,"RESPOSTA_VAZIA")</f>
        <v/>
      </c>
    </row>
    <row r="5">
      <c r="A5" s="7" t="inlineStr">
        <is>
          <t>Jurídico AI</t>
        </is>
      </c>
      <c r="B5" s="9">
        <f>COUNTIFS(Respostas!$B$2:$B$126,$A5,Respostas!$R$2:$R$126,"&gt;=0")</f>
        <v/>
      </c>
      <c r="C5" s="12">
        <f>IF(B5=0,"",AVERAGEIFS(Respostas!$R$2:$R$126,Respostas!$B$2:$B$126,$A5))</f>
        <v/>
      </c>
      <c r="D5" s="12">
        <f>IF(B5=0,"",AVERAGEIFS(Respostas!$M$2:$M$126,Respostas!$B$2:$B$126,$A5,Respostas!$R$2:$R$126,"&gt;=0"))</f>
        <v/>
      </c>
      <c r="E5" s="12">
        <f>IF(B5=0,"",AVERAGEIFS(Respostas!$N$2:$N$126,Respostas!$B$2:$B$126,$A5,Respostas!$R$2:$R$126,"&gt;=0"))</f>
        <v/>
      </c>
      <c r="F5" s="12">
        <f>IF(B5=0,"",AVERAGEIFS(Respostas!$O$2:$O$126,Respostas!$B$2:$B$126,$A5,Respostas!$R$2:$R$126,"&gt;=0"))</f>
        <v/>
      </c>
      <c r="G5" s="12">
        <f>IF(B5=0,"",AVERAGEIFS(Respostas!$P$2:$P$126,Respostas!$B$2:$B$126,$A5,Respostas!$R$2:$R$126,"&gt;=0"))</f>
        <v/>
      </c>
      <c r="H5" s="12">
        <f>IF(B5=0,"",AVERAGEIFS(Respostas!$Q$2:$Q$126,Respostas!$B$2:$B$126,$A5,Respostas!$R$2:$R$126,"&gt;=0"))</f>
        <v/>
      </c>
      <c r="I5" s="11">
        <f>IF(B5=0,"",COUNTIFS(Respostas!$B$2:$B$126,$A5,Respostas!$R$2:$R$126,"&gt;=8")/B5)</f>
        <v/>
      </c>
      <c r="J5" s="12">
        <f>IF(COUNTIFS(Respostas!$B$2:$B$126,$A5,Respostas!$I$2:$I$126,"&gt;=0")=0,"",AVERAGEIFS(Respostas!$I$2:$I$126,Respostas!$B$2:$B$126,$A5))</f>
        <v/>
      </c>
      <c r="K5" s="10">
        <f>IF(ISNUMBER(Parametros!$D$11),Parametros!$D$11,"")</f>
        <v/>
      </c>
      <c r="L5" s="11">
        <f>IF(SUMIFS(Respostas!$T$2:$T$126,Respostas!$B$2:$B$126,$A5)=0,"",SUMIFS(Respostas!$U$2:$U$126,Respostas!$B$2:$B$126,$A5)/SUMIFS(Respostas!$T$2:$T$126,Respostas!$B$2:$B$126,$A5))</f>
        <v/>
      </c>
      <c r="M5" s="9">
        <f>COUNTIFS(Respostas!$B$2:$B$126,$A5,Respostas!$X$2:$X$126,"RESPONDIDA")</f>
        <v/>
      </c>
      <c r="N5" s="9">
        <f>COUNTIFS(Respostas!$B$2:$B$126,$A5,Respostas!$X$2:$X$126,"NAO_ENCONTRADO")</f>
        <v/>
      </c>
      <c r="O5" s="9">
        <f>COUNTIFS(Respostas!$B$2:$B$126,$A5,Respostas!$X$2:$X$126,"RESPOSTA_VAZIA")</f>
        <v/>
      </c>
    </row>
    <row r="6">
      <c r="A6" s="7" t="inlineStr">
        <is>
          <t>LLM genérico</t>
        </is>
      </c>
      <c r="B6" s="9">
        <f>COUNTIFS(Respostas!$B$2:$B$126,$A6,Respostas!$R$2:$R$126,"&gt;=0")</f>
        <v/>
      </c>
      <c r="C6" s="12">
        <f>IF(B6=0,"",AVERAGEIFS(Respostas!$R$2:$R$126,Respostas!$B$2:$B$126,$A6))</f>
        <v/>
      </c>
      <c r="D6" s="12">
        <f>IF(B6=0,"",AVERAGEIFS(Respostas!$M$2:$M$126,Respostas!$B$2:$B$126,$A6,Respostas!$R$2:$R$126,"&gt;=0"))</f>
        <v/>
      </c>
      <c r="E6" s="12">
        <f>IF(B6=0,"",AVERAGEIFS(Respostas!$N$2:$N$126,Respostas!$B$2:$B$126,$A6,Respostas!$R$2:$R$126,"&gt;=0"))</f>
        <v/>
      </c>
      <c r="F6" s="12">
        <f>IF(B6=0,"",AVERAGEIFS(Respostas!$O$2:$O$126,Respostas!$B$2:$B$126,$A6,Respostas!$R$2:$R$126,"&gt;=0"))</f>
        <v/>
      </c>
      <c r="G6" s="12">
        <f>IF(B6=0,"",AVERAGEIFS(Respostas!$P$2:$P$126,Respostas!$B$2:$B$126,$A6,Respostas!$R$2:$R$126,"&gt;=0"))</f>
        <v/>
      </c>
      <c r="H6" s="12">
        <f>IF(B6=0,"",AVERAGEIFS(Respostas!$Q$2:$Q$126,Respostas!$B$2:$B$126,$A6,Respostas!$R$2:$R$126,"&gt;=0"))</f>
        <v/>
      </c>
      <c r="I6" s="11">
        <f>IF(B6=0,"",COUNTIFS(Respostas!$B$2:$B$126,$A6,Respostas!$R$2:$R$126,"&gt;=8")/B6)</f>
        <v/>
      </c>
      <c r="J6" s="12">
        <f>IF(COUNTIFS(Respostas!$B$2:$B$126,$A6,Respostas!$I$2:$I$126,"&gt;=0")=0,"",AVERAGEIFS(Respostas!$I$2:$I$126,Respostas!$B$2:$B$126,$A6))</f>
        <v/>
      </c>
      <c r="K6" s="10">
        <f>IF(ISNUMBER(Parametros!$D$12),Parametros!$D$12,"")</f>
        <v/>
      </c>
      <c r="L6" s="11">
        <f>IF(SUMIFS(Respostas!$T$2:$T$126,Respostas!$B$2:$B$126,$A6)=0,"",SUMIFS(Respostas!$U$2:$U$126,Respostas!$B$2:$B$126,$A6)/SUMIFS(Respostas!$T$2:$T$126,Respostas!$B$2:$B$126,$A6))</f>
        <v/>
      </c>
      <c r="M6" s="9">
        <f>COUNTIFS(Respostas!$B$2:$B$126,$A6,Respostas!$X$2:$X$126,"RESPONDIDA")</f>
        <v/>
      </c>
      <c r="N6" s="9">
        <f>COUNTIFS(Respostas!$B$2:$B$126,$A6,Respostas!$X$2:$X$126,"NAO_ENCONTRADO")</f>
        <v/>
      </c>
      <c r="O6" s="9">
        <f>COUNTIFS(Respostas!$B$2:$B$126,$A6,Respostas!$X$2:$X$126,"RESPOSTA_VAZIA")</f>
        <v/>
      </c>
    </row>
    <row r="7">
      <c r="A7" s="7" t="inlineStr">
        <is>
          <t>RAG atual</t>
        </is>
      </c>
      <c r="B7" s="9">
        <f>COUNTIFS(Respostas!$B$2:$B$126,$A7,Respostas!$R$2:$R$126,"&gt;=0")</f>
        <v/>
      </c>
      <c r="C7" s="12">
        <f>IF(B7=0,"",AVERAGEIFS(Respostas!$R$2:$R$126,Respostas!$B$2:$B$126,$A7))</f>
        <v/>
      </c>
      <c r="D7" s="12">
        <f>IF(B7=0,"",AVERAGEIFS(Respostas!$M$2:$M$126,Respostas!$B$2:$B$126,$A7,Respostas!$R$2:$R$126,"&gt;=0"))</f>
        <v/>
      </c>
      <c r="E7" s="12">
        <f>IF(B7=0,"",AVERAGEIFS(Respostas!$N$2:$N$126,Respostas!$B$2:$B$126,$A7,Respostas!$R$2:$R$126,"&gt;=0"))</f>
        <v/>
      </c>
      <c r="F7" s="12">
        <f>IF(B7=0,"",AVERAGEIFS(Respostas!$O$2:$O$126,Respostas!$B$2:$B$126,$A7,Respostas!$R$2:$R$126,"&gt;=0"))</f>
        <v/>
      </c>
      <c r="G7" s="12">
        <f>IF(B7=0,"",AVERAGEIFS(Respostas!$P$2:$P$126,Respostas!$B$2:$B$126,$A7,Respostas!$R$2:$R$126,"&gt;=0"))</f>
        <v/>
      </c>
      <c r="H7" s="12">
        <f>IF(B7=0,"",AVERAGEIFS(Respostas!$Q$2:$Q$126,Respostas!$B$2:$B$126,$A7,Respostas!$R$2:$R$126,"&gt;=0"))</f>
        <v/>
      </c>
      <c r="I7" s="11">
        <f>IF(B7=0,"",COUNTIFS(Respostas!$B$2:$B$126,$A7,Respostas!$R$2:$R$126,"&gt;=8")/B7)</f>
        <v/>
      </c>
      <c r="J7" s="12">
        <f>IF(COUNTIFS(Respostas!$B$2:$B$126,$A7,Respostas!$I$2:$I$126,"&gt;=0")=0,"",AVERAGEIFS(Respostas!$I$2:$I$126,Respostas!$B$2:$B$126,$A7))</f>
        <v/>
      </c>
      <c r="K7" s="10">
        <f>IF(COUNTIFS(Respostas!$B$2:$B$126,$A7,Respostas!$L$2:$L$126,"&gt;=0")=0,"",AVERAGEIFS(Respostas!$L$2:$L$126,Respostas!$B$2:$B$126,$A7))</f>
        <v/>
      </c>
      <c r="L7" s="11">
        <f>IF(SUMIFS(Respostas!$T$2:$T$126,Respostas!$B$2:$B$126,$A7)=0,"",SUMIFS(Respostas!$U$2:$U$126,Respostas!$B$2:$B$126,$A7)/SUMIFS(Respostas!$T$2:$T$126,Respostas!$B$2:$B$126,$A7))</f>
        <v/>
      </c>
      <c r="M7" s="9">
        <f>COUNTIFS(Respostas!$B$2:$B$126,$A7,Respostas!$X$2:$X$126,"RESPONDIDA")</f>
        <v/>
      </c>
      <c r="N7" s="9">
        <f>COUNTIFS(Respostas!$B$2:$B$126,$A7,Respostas!$X$2:$X$126,"NAO_ENCONTRADO")</f>
        <v/>
      </c>
      <c r="O7" s="9">
        <f>COUNTIFS(Respostas!$B$2:$B$126,$A7,Respostas!$X$2:$X$126,"RESPOSTA_VAZIA")</f>
        <v/>
      </c>
    </row>
    <row r="8">
      <c r="A8" s="7" t="inlineStr">
        <is>
          <t>RAG Fase 3</t>
        </is>
      </c>
      <c r="B8" s="9">
        <f>COUNTIFS(Respostas!$B$2:$B$126,$A8,Respostas!$R$2:$R$126,"&gt;=0")</f>
        <v/>
      </c>
      <c r="C8" s="12">
        <f>IF(B8=0,"",AVERAGEIFS(Respostas!$R$2:$R$126,Respostas!$B$2:$B$126,$A8))</f>
        <v/>
      </c>
      <c r="D8" s="12">
        <f>IF(B8=0,"",AVERAGEIFS(Respostas!$M$2:$M$126,Respostas!$B$2:$B$126,$A8,Respostas!$R$2:$R$126,"&gt;=0"))</f>
        <v/>
      </c>
      <c r="E8" s="12">
        <f>IF(B8=0,"",AVERAGEIFS(Respostas!$N$2:$N$126,Respostas!$B$2:$B$126,$A8,Respostas!$R$2:$R$126,"&gt;=0"))</f>
        <v/>
      </c>
      <c r="F8" s="12">
        <f>IF(B8=0,"",AVERAGEIFS(Respostas!$O$2:$O$126,Respostas!$B$2:$B$126,$A8,Respostas!$R$2:$R$126,"&gt;=0"))</f>
        <v/>
      </c>
      <c r="G8" s="12">
        <f>IF(B8=0,"",AVERAGEIFS(Respostas!$P$2:$P$126,Respostas!$B$2:$B$126,$A8,Respostas!$R$2:$R$126,"&gt;=0"))</f>
        <v/>
      </c>
      <c r="H8" s="12">
        <f>IF(B8=0,"",AVERAGEIFS(Respostas!$Q$2:$Q$126,Respostas!$B$2:$B$126,$A8,Respostas!$R$2:$R$126,"&gt;=0"))</f>
        <v/>
      </c>
      <c r="I8" s="11">
        <f>IF(B8=0,"",COUNTIFS(Respostas!$B$2:$B$126,$A8,Respostas!$R$2:$R$126,"&gt;=8")/B8)</f>
        <v/>
      </c>
      <c r="J8" s="12">
        <f>IF(COUNTIFS(Respostas!$B$2:$B$126,$A8,Respostas!$I$2:$I$126,"&gt;=0")=0,"",AVERAGEIFS(Respostas!$I$2:$I$126,Respostas!$B$2:$B$126,$A8))</f>
        <v/>
      </c>
      <c r="K8" s="10">
        <f>IF(COUNTIFS(Respostas!$B$2:$B$126,$A8,Respostas!$L$2:$L$126,"&gt;=0")=0,"",AVERAGEIFS(Respostas!$L$2:$L$126,Respostas!$B$2:$B$126,$A8))</f>
        <v/>
      </c>
      <c r="L8" s="11">
        <f>IF(SUMIFS(Respostas!$T$2:$T$126,Respostas!$B$2:$B$126,$A8)=0,"",SUMIFS(Respostas!$U$2:$U$126,Respostas!$B$2:$B$126,$A8)/SUMIFS(Respostas!$T$2:$T$126,Respostas!$B$2:$B$126,$A8))</f>
        <v/>
      </c>
      <c r="M8" s="9">
        <f>COUNTIFS(Respostas!$B$2:$B$126,$A8,Respostas!$X$2:$X$126,"RESPONDIDA")</f>
        <v/>
      </c>
      <c r="N8" s="9">
        <f>COUNTIFS(Respostas!$B$2:$B$126,$A8,Respostas!$X$2:$X$126,"NAO_ENCONTRADO")</f>
        <v/>
      </c>
      <c r="O8" s="9">
        <f>COUNTIFS(Respostas!$B$2:$B$126,$A8,Respostas!$X$2:$X$126,"RESPOSTA_VAZIA")</f>
        <v/>
      </c>
    </row>
    <row r="10">
      <c r="A10" s="3" t="inlineStr">
        <is>
          <t>Gate 1: sinal do benchmark</t>
        </is>
      </c>
    </row>
    <row r="11">
      <c r="A11" s="2" t="inlineStr">
        <is>
          <t>Melhor concorrente</t>
        </is>
      </c>
      <c r="B11" s="12">
        <f>IF(COUNT(C4,C5,C6)=0,"",MAX(C4,C5,C6))</f>
        <v/>
      </c>
    </row>
    <row r="12">
      <c r="A12" s="2" t="inlineStr">
        <is>
          <t>Sinal</t>
        </is>
      </c>
      <c r="B12" s="9">
        <f>IF(B11="","Aguardando coleta",IF(B11&gt;=8,"Concorrentes fortes: só seguir se as entrevistas mostrarem dor mensurável",IF(B11&lt;6,"Gap confirmado: seguir com H1 + H3","Zona cinza: focar em H3 + H4 (fluxo + custo)")))</f>
        <v/>
      </c>
      <c r="C12" s="13" t="n"/>
      <c r="D12" s="13" t="n"/>
      <c r="E12" s="13" t="n"/>
      <c r="F12" s="13" t="n"/>
      <c r="G12" s="13" t="n"/>
      <c r="H12" s="14" t="n"/>
    </row>
    <row r="13">
      <c r="A13" s="2" t="inlineStr">
        <is>
          <t>Regras em docs/fase3/03_plano_validacao.md. O Gate combina este sinal com as entrevistas.</t>
        </is>
      </c>
    </row>
    <row r="15">
      <c r="A15" s="3" t="inlineStr">
        <is>
          <t>Nota média por categoria</t>
        </is>
      </c>
    </row>
    <row r="16">
      <c r="A16" s="6" t="inlineStr">
        <is>
          <t>Categoria</t>
        </is>
      </c>
      <c r="B16" s="6" t="inlineStr">
        <is>
          <t>Jus IA</t>
        </is>
      </c>
      <c r="C16" s="6" t="inlineStr">
        <is>
          <t>Jurídico AI</t>
        </is>
      </c>
      <c r="D16" s="6" t="inlineStr">
        <is>
          <t>LLM genérico</t>
        </is>
      </c>
      <c r="E16" s="6" t="inlineStr">
        <is>
          <t>RAG atual</t>
        </is>
      </c>
      <c r="F16" s="6" t="inlineStr">
        <is>
          <t>RAG Fase 3</t>
        </is>
      </c>
    </row>
    <row r="17">
      <c r="A17" s="7" t="inlineStr">
        <is>
          <t>Certidão</t>
        </is>
      </c>
      <c r="B17" s="15">
        <f>IF(COUNTIFS(Respostas!$B$2:$B$126,B$16,Respostas!$C$2:$C$126,$A17,Respostas!$R$2:$R$126,"&gt;=0")=0,"",AVERAGEIFS(Respostas!$R$2:$R$126,Respostas!$B$2:$B$126,B$16,Respostas!$C$2:$C$126,$A17))</f>
        <v/>
      </c>
      <c r="C17" s="15">
        <f>IF(COUNTIFS(Respostas!$B$2:$B$126,C$16,Respostas!$C$2:$C$126,$A17,Respostas!$R$2:$R$126,"&gt;=0")=0,"",AVERAGEIFS(Respostas!$R$2:$R$126,Respostas!$B$2:$B$126,C$16,Respostas!$C$2:$C$126,$A17))</f>
        <v/>
      </c>
      <c r="D17" s="15">
        <f>IF(COUNTIFS(Respostas!$B$2:$B$126,D$16,Respostas!$C$2:$C$126,$A17,Respostas!$R$2:$R$126,"&gt;=0")=0,"",AVERAGEIFS(Respostas!$R$2:$R$126,Respostas!$B$2:$B$126,D$16,Respostas!$C$2:$C$126,$A17))</f>
        <v/>
      </c>
      <c r="E17" s="15">
        <f>IF(COUNTIFS(Respostas!$B$2:$B$126,E$16,Respostas!$C$2:$C$126,$A17,Respostas!$R$2:$R$126,"&gt;=0")=0,"",AVERAGEIFS(Respostas!$R$2:$R$126,Respostas!$B$2:$B$126,E$16,Respostas!$C$2:$C$126,$A17))</f>
        <v/>
      </c>
      <c r="F17" s="15">
        <f>IF(COUNTIFS(Respostas!$B$2:$B$126,F$16,Respostas!$C$2:$C$126,$A17,Respostas!$R$2:$R$126,"&gt;=0")=0,"",AVERAGEIFS(Respostas!$R$2:$R$126,Respostas!$B$2:$B$126,F$16,Respostas!$C$2:$C$126,$A17))</f>
        <v/>
      </c>
    </row>
    <row r="18">
      <c r="A18" s="7" t="inlineStr">
        <is>
          <t>Busca</t>
        </is>
      </c>
      <c r="B18" s="15">
        <f>IF(COUNTIFS(Respostas!$B$2:$B$126,B$16,Respostas!$C$2:$C$126,$A18,Respostas!$R$2:$R$126,"&gt;=0")=0,"",AVERAGEIFS(Respostas!$R$2:$R$126,Respostas!$B$2:$B$126,B$16,Respostas!$C$2:$C$126,$A18))</f>
        <v/>
      </c>
      <c r="C18" s="15">
        <f>IF(COUNTIFS(Respostas!$B$2:$B$126,C$16,Respostas!$C$2:$C$126,$A18,Respostas!$R$2:$R$126,"&gt;=0")=0,"",AVERAGEIFS(Respostas!$R$2:$R$126,Respostas!$B$2:$B$126,C$16,Respostas!$C$2:$C$126,$A18))</f>
        <v/>
      </c>
      <c r="D18" s="15">
        <f>IF(COUNTIFS(Respostas!$B$2:$B$126,D$16,Respostas!$C$2:$C$126,$A18,Respostas!$R$2:$R$126,"&gt;=0")=0,"",AVERAGEIFS(Respostas!$R$2:$R$126,Respostas!$B$2:$B$126,D$16,Respostas!$C$2:$C$126,$A18))</f>
        <v/>
      </c>
      <c r="E18" s="15">
        <f>IF(COUNTIFS(Respostas!$B$2:$B$126,E$16,Respostas!$C$2:$C$126,$A18,Respostas!$R$2:$R$126,"&gt;=0")=0,"",AVERAGEIFS(Respostas!$R$2:$R$126,Respostas!$B$2:$B$126,E$16,Respostas!$C$2:$C$126,$A18))</f>
        <v/>
      </c>
      <c r="F18" s="15">
        <f>IF(COUNTIFS(Respostas!$B$2:$B$126,F$16,Respostas!$C$2:$C$126,$A18,Respostas!$R$2:$R$126,"&gt;=0")=0,"",AVERAGEIFS(Respostas!$R$2:$R$126,Respostas!$B$2:$B$126,F$16,Respostas!$C$2:$C$126,$A18))</f>
        <v/>
      </c>
    </row>
    <row r="19">
      <c r="A19" s="7" t="inlineStr">
        <is>
          <t>Informação verbal</t>
        </is>
      </c>
      <c r="B19" s="15">
        <f>IF(COUNTIFS(Respostas!$B$2:$B$126,B$16,Respostas!$C$2:$C$126,$A19,Respostas!$R$2:$R$126,"&gt;=0")=0,"",AVERAGEIFS(Respostas!$R$2:$R$126,Respostas!$B$2:$B$126,B$16,Respostas!$C$2:$C$126,$A19))</f>
        <v/>
      </c>
      <c r="C19" s="15">
        <f>IF(COUNTIFS(Respostas!$B$2:$B$126,C$16,Respostas!$C$2:$C$126,$A19,Respostas!$R$2:$R$126,"&gt;=0")=0,"",AVERAGEIFS(Respostas!$R$2:$R$126,Respostas!$B$2:$B$126,C$16,Respostas!$C$2:$C$126,$A19))</f>
        <v/>
      </c>
      <c r="D19" s="15">
        <f>IF(COUNTIFS(Respostas!$B$2:$B$126,D$16,Respostas!$C$2:$C$126,$A19,Respostas!$R$2:$R$126,"&gt;=0")=0,"",AVERAGEIFS(Respostas!$R$2:$R$126,Respostas!$B$2:$B$126,D$16,Respostas!$C$2:$C$126,$A19))</f>
        <v/>
      </c>
      <c r="E19" s="15">
        <f>IF(COUNTIFS(Respostas!$B$2:$B$126,E$16,Respostas!$C$2:$C$126,$A19,Respostas!$R$2:$R$126,"&gt;=0")=0,"",AVERAGEIFS(Respostas!$R$2:$R$126,Respostas!$B$2:$B$126,E$16,Respostas!$C$2:$C$126,$A19))</f>
        <v/>
      </c>
      <c r="F19" s="15">
        <f>IF(COUNTIFS(Respostas!$B$2:$B$126,F$16,Respostas!$C$2:$C$126,$A19,Respostas!$R$2:$R$126,"&gt;=0")=0,"",AVERAGEIFS(Respostas!$R$2:$R$126,Respostas!$B$2:$B$126,F$16,Respostas!$C$2:$C$126,$A19))</f>
        <v/>
      </c>
    </row>
    <row r="20">
      <c r="A20" s="7" t="inlineStr">
        <is>
          <t>Poder público</t>
        </is>
      </c>
      <c r="B20" s="15">
        <f>IF(COUNTIFS(Respostas!$B$2:$B$126,B$16,Respostas!$C$2:$C$126,$A20,Respostas!$R$2:$R$126,"&gt;=0")=0,"",AVERAGEIFS(Respostas!$R$2:$R$126,Respostas!$B$2:$B$126,B$16,Respostas!$C$2:$C$126,$A20))</f>
        <v/>
      </c>
      <c r="C20" s="15">
        <f>IF(COUNTIFS(Respostas!$B$2:$B$126,C$16,Respostas!$C$2:$C$126,$A20,Respostas!$R$2:$R$126,"&gt;=0")=0,"",AVERAGEIFS(Respostas!$R$2:$R$126,Respostas!$B$2:$B$126,C$16,Respostas!$C$2:$C$126,$A20))</f>
        <v/>
      </c>
      <c r="D20" s="15">
        <f>IF(COUNTIFS(Respostas!$B$2:$B$126,D$16,Respostas!$C$2:$C$126,$A20,Respostas!$R$2:$R$126,"&gt;=0")=0,"",AVERAGEIFS(Respostas!$R$2:$R$126,Respostas!$B$2:$B$126,D$16,Respostas!$C$2:$C$126,$A20))</f>
        <v/>
      </c>
      <c r="E20" s="15">
        <f>IF(COUNTIFS(Respostas!$B$2:$B$126,E$16,Respostas!$C$2:$C$126,$A20,Respostas!$R$2:$R$126,"&gt;=0")=0,"",AVERAGEIFS(Respostas!$R$2:$R$126,Respostas!$B$2:$B$126,E$16,Respostas!$C$2:$C$126,$A20))</f>
        <v/>
      </c>
      <c r="F20" s="15">
        <f>IF(COUNTIFS(Respostas!$B$2:$B$126,F$16,Respostas!$C$2:$C$126,$A20,Respostas!$R$2:$R$126,"&gt;=0")=0,"",AVERAGEIFS(Respostas!$R$2:$R$126,Respostas!$B$2:$B$126,F$16,Respostas!$C$2:$C$126,$A20))</f>
        <v/>
      </c>
    </row>
    <row r="21">
      <c r="A21" s="7" t="inlineStr">
        <is>
          <t>Transparência</t>
        </is>
      </c>
      <c r="B21" s="15">
        <f>IF(COUNTIFS(Respostas!$B$2:$B$126,B$16,Respostas!$C$2:$C$126,$A21,Respostas!$R$2:$R$126,"&gt;=0")=0,"",AVERAGEIFS(Respostas!$R$2:$R$126,Respostas!$B$2:$B$126,B$16,Respostas!$C$2:$C$126,$A21))</f>
        <v/>
      </c>
      <c r="C21" s="15">
        <f>IF(COUNTIFS(Respostas!$B$2:$B$126,C$16,Respostas!$C$2:$C$126,$A21,Respostas!$R$2:$R$126,"&gt;=0")=0,"",AVERAGEIFS(Respostas!$R$2:$R$126,Respostas!$B$2:$B$126,C$16,Respostas!$C$2:$C$126,$A21))</f>
        <v/>
      </c>
      <c r="D21" s="15">
        <f>IF(COUNTIFS(Respostas!$B$2:$B$126,D$16,Respostas!$C$2:$C$126,$A21,Respostas!$R$2:$R$126,"&gt;=0")=0,"",AVERAGEIFS(Respostas!$R$2:$R$126,Respostas!$B$2:$B$126,D$16,Respostas!$C$2:$C$126,$A21))</f>
        <v/>
      </c>
      <c r="E21" s="15">
        <f>IF(COUNTIFS(Respostas!$B$2:$B$126,E$16,Respostas!$C$2:$C$126,$A21,Respostas!$R$2:$R$126,"&gt;=0")=0,"",AVERAGEIFS(Respostas!$R$2:$R$126,Respostas!$B$2:$B$126,E$16,Respostas!$C$2:$C$126,$A21))</f>
        <v/>
      </c>
      <c r="F21" s="15">
        <f>IF(COUNTIFS(Respostas!$B$2:$B$126,F$16,Respostas!$C$2:$C$126,$A21,Respostas!$R$2:$R$126,"&gt;=0")=0,"",AVERAGEIFS(Respostas!$R$2:$R$126,Respostas!$B$2:$B$126,F$16,Respostas!$C$2:$C$126,$A21))</f>
        <v/>
      </c>
    </row>
    <row r="22">
      <c r="A22" s="7" t="inlineStr">
        <is>
          <t>Dado sensível</t>
        </is>
      </c>
      <c r="B22" s="15">
        <f>IF(COUNTIFS(Respostas!$B$2:$B$126,B$16,Respostas!$C$2:$C$126,$A22,Respostas!$R$2:$R$126,"&gt;=0")=0,"",AVERAGEIFS(Respostas!$R$2:$R$126,Respostas!$B$2:$B$126,B$16,Respostas!$C$2:$C$126,$A22))</f>
        <v/>
      </c>
      <c r="C22" s="15">
        <f>IF(COUNTIFS(Respostas!$B$2:$B$126,C$16,Respostas!$C$2:$C$126,$A22,Respostas!$R$2:$R$126,"&gt;=0")=0,"",AVERAGEIFS(Respostas!$R$2:$R$126,Respostas!$B$2:$B$126,C$16,Respostas!$C$2:$C$126,$A22))</f>
        <v/>
      </c>
      <c r="D22" s="15">
        <f>IF(COUNTIFS(Respostas!$B$2:$B$126,D$16,Respostas!$C$2:$C$126,$A22,Respostas!$R$2:$R$126,"&gt;=0")=0,"",AVERAGEIFS(Respostas!$R$2:$R$126,Respostas!$B$2:$B$126,D$16,Respostas!$C$2:$C$126,$A22))</f>
        <v/>
      </c>
      <c r="E22" s="15">
        <f>IF(COUNTIFS(Respostas!$B$2:$B$126,E$16,Respostas!$C$2:$C$126,$A22,Respostas!$R$2:$R$126,"&gt;=0")=0,"",AVERAGEIFS(Respostas!$R$2:$R$126,Respostas!$B$2:$B$126,E$16,Respostas!$C$2:$C$126,$A22))</f>
        <v/>
      </c>
      <c r="F22" s="15">
        <f>IF(COUNTIFS(Respostas!$B$2:$B$126,F$16,Respostas!$C$2:$C$126,$A22,Respostas!$R$2:$R$126,"&gt;=0")=0,"",AVERAGEIFS(Respostas!$R$2:$R$126,Respostas!$B$2:$B$126,F$16,Respostas!$C$2:$C$126,$A22))</f>
        <v/>
      </c>
    </row>
    <row r="23">
      <c r="A23" s="7" t="inlineStr">
        <is>
          <t>Tratamento</t>
        </is>
      </c>
      <c r="B23" s="15">
        <f>IF(COUNTIFS(Respostas!$B$2:$B$126,B$16,Respostas!$C$2:$C$126,$A23,Respostas!$R$2:$R$126,"&gt;=0")=0,"",AVERAGEIFS(Respostas!$R$2:$R$126,Respostas!$B$2:$B$126,B$16,Respostas!$C$2:$C$126,$A23))</f>
        <v/>
      </c>
      <c r="C23" s="15">
        <f>IF(COUNTIFS(Respostas!$B$2:$B$126,C$16,Respostas!$C$2:$C$126,$A23,Respostas!$R$2:$R$126,"&gt;=0")=0,"",AVERAGEIFS(Respostas!$R$2:$R$126,Respostas!$B$2:$B$126,C$16,Respostas!$C$2:$C$126,$A23))</f>
        <v/>
      </c>
      <c r="D23" s="15">
        <f>IF(COUNTIFS(Respostas!$B$2:$B$126,D$16,Respostas!$C$2:$C$126,$A23,Respostas!$R$2:$R$126,"&gt;=0")=0,"",AVERAGEIFS(Respostas!$R$2:$R$126,Respostas!$B$2:$B$126,D$16,Respostas!$C$2:$C$126,$A23))</f>
        <v/>
      </c>
      <c r="E23" s="15">
        <f>IF(COUNTIFS(Respostas!$B$2:$B$126,E$16,Respostas!$C$2:$C$126,$A23,Respostas!$R$2:$R$126,"&gt;=0")=0,"",AVERAGEIFS(Respostas!$R$2:$R$126,Respostas!$B$2:$B$126,E$16,Respostas!$C$2:$C$126,$A23))</f>
        <v/>
      </c>
      <c r="F23" s="15">
        <f>IF(COUNTIFS(Respostas!$B$2:$B$126,F$16,Respostas!$C$2:$C$126,$A23,Respostas!$R$2:$R$126,"&gt;=0")=0,"",AVERAGEIFS(Respostas!$R$2:$R$126,Respostas!$B$2:$B$126,F$16,Respostas!$C$2:$C$126,$A23))</f>
        <v/>
      </c>
    </row>
    <row r="24">
      <c r="A24" s="7" t="inlineStr">
        <is>
          <t>Compartilhamento</t>
        </is>
      </c>
      <c r="B24" s="15">
        <f>IF(COUNTIFS(Respostas!$B$2:$B$126,B$16,Respostas!$C$2:$C$126,$A24,Respostas!$R$2:$R$126,"&gt;=0")=0,"",AVERAGEIFS(Respostas!$R$2:$R$126,Respostas!$B$2:$B$126,B$16,Respostas!$C$2:$C$126,$A24))</f>
        <v/>
      </c>
      <c r="C24" s="15">
        <f>IF(COUNTIFS(Respostas!$B$2:$B$126,C$16,Respostas!$C$2:$C$126,$A24,Respostas!$R$2:$R$126,"&gt;=0")=0,"",AVERAGEIFS(Respostas!$R$2:$R$126,Respostas!$B$2:$B$126,C$16,Respostas!$C$2:$C$126,$A24))</f>
        <v/>
      </c>
      <c r="D24" s="15">
        <f>IF(COUNTIFS(Respostas!$B$2:$B$126,D$16,Respostas!$C$2:$C$126,$A24,Respostas!$R$2:$R$126,"&gt;=0")=0,"",AVERAGEIFS(Respostas!$R$2:$R$126,Respostas!$B$2:$B$126,D$16,Respostas!$C$2:$C$126,$A24))</f>
        <v/>
      </c>
      <c r="E24" s="15">
        <f>IF(COUNTIFS(Respostas!$B$2:$B$126,E$16,Respostas!$C$2:$C$126,$A24,Respostas!$R$2:$R$126,"&gt;=0")=0,"",AVERAGEIFS(Respostas!$R$2:$R$126,Respostas!$B$2:$B$126,E$16,Respostas!$C$2:$C$126,$A24))</f>
        <v/>
      </c>
      <c r="F24" s="15">
        <f>IF(COUNTIFS(Respostas!$B$2:$B$126,F$16,Respostas!$C$2:$C$126,$A24,Respostas!$R$2:$R$126,"&gt;=0")=0,"",AVERAGEIFS(Respostas!$R$2:$R$126,Respostas!$B$2:$B$126,F$16,Respostas!$C$2:$C$126,$A24))</f>
        <v/>
      </c>
    </row>
    <row r="25">
      <c r="A25" s="7" t="inlineStr">
        <is>
          <t>Norma CE</t>
        </is>
      </c>
      <c r="B25" s="15">
        <f>IF(COUNTIFS(Respostas!$B$2:$B$126,B$16,Respostas!$C$2:$C$126,$A25,Respostas!$R$2:$R$126,"&gt;=0")=0,"",AVERAGEIFS(Respostas!$R$2:$R$126,Respostas!$B$2:$B$126,B$16,Respostas!$C$2:$C$126,$A25))</f>
        <v/>
      </c>
      <c r="C25" s="15">
        <f>IF(COUNTIFS(Respostas!$B$2:$B$126,C$16,Respostas!$C$2:$C$126,$A25,Respostas!$R$2:$R$126,"&gt;=0")=0,"",AVERAGEIFS(Respostas!$R$2:$R$126,Respostas!$B$2:$B$126,C$16,Respostas!$C$2:$C$126,$A25))</f>
        <v/>
      </c>
      <c r="D25" s="15">
        <f>IF(COUNTIFS(Respostas!$B$2:$B$126,D$16,Respostas!$C$2:$C$126,$A25,Respostas!$R$2:$R$126,"&gt;=0")=0,"",AVERAGEIFS(Respostas!$R$2:$R$126,Respostas!$B$2:$B$126,D$16,Respostas!$C$2:$C$126,$A25))</f>
        <v/>
      </c>
      <c r="E25" s="15">
        <f>IF(COUNTIFS(Respostas!$B$2:$B$126,E$16,Respostas!$C$2:$C$126,$A25,Respostas!$R$2:$R$126,"&gt;=0")=0,"",AVERAGEIFS(Respostas!$R$2:$R$126,Respostas!$B$2:$B$126,E$16,Respostas!$C$2:$C$126,$A25))</f>
        <v/>
      </c>
      <c r="F25" s="15">
        <f>IF(COUNTIFS(Respostas!$B$2:$B$126,F$16,Respostas!$C$2:$C$126,$A25,Respostas!$R$2:$R$126,"&gt;=0")=0,"",AVERAGEIFS(Respostas!$R$2:$R$126,Respostas!$B$2:$B$126,F$16,Respostas!$C$2:$C$126,$A25))</f>
        <v/>
      </c>
    </row>
    <row r="26">
      <c r="A26" s="7" t="inlineStr">
        <is>
          <t>Incidente</t>
        </is>
      </c>
      <c r="B26" s="15">
        <f>IF(COUNTIFS(Respostas!$B$2:$B$126,B$16,Respostas!$C$2:$C$126,$A26,Respostas!$R$2:$R$126,"&gt;=0")=0,"",AVERAGEIFS(Respostas!$R$2:$R$126,Respostas!$B$2:$B$126,B$16,Respostas!$C$2:$C$126,$A26))</f>
        <v/>
      </c>
      <c r="C26" s="15">
        <f>IF(COUNTIFS(Respostas!$B$2:$B$126,C$16,Respostas!$C$2:$C$126,$A26,Respostas!$R$2:$R$126,"&gt;=0")=0,"",AVERAGEIFS(Respostas!$R$2:$R$126,Respostas!$B$2:$B$126,C$16,Respostas!$C$2:$C$126,$A26))</f>
        <v/>
      </c>
      <c r="D26" s="15">
        <f>IF(COUNTIFS(Respostas!$B$2:$B$126,D$16,Respostas!$C$2:$C$126,$A26,Respostas!$R$2:$R$126,"&gt;=0")=0,"",AVERAGEIFS(Respostas!$R$2:$R$126,Respostas!$B$2:$B$126,D$16,Respostas!$C$2:$C$126,$A26))</f>
        <v/>
      </c>
      <c r="E26" s="15">
        <f>IF(COUNTIFS(Respostas!$B$2:$B$126,E$16,Respostas!$C$2:$C$126,$A26,Respostas!$R$2:$R$126,"&gt;=0")=0,"",AVERAGEIFS(Respostas!$R$2:$R$126,Respostas!$B$2:$B$126,E$16,Respostas!$C$2:$C$126,$A26))</f>
        <v/>
      </c>
      <c r="F26" s="15">
        <f>IF(COUNTIFS(Respostas!$B$2:$B$126,F$16,Respostas!$C$2:$C$126,$A26,Respostas!$R$2:$R$126,"&gt;=0")=0,"",AVERAGEIFS(Respostas!$R$2:$R$126,Respostas!$B$2:$B$126,F$16,Respostas!$C$2:$C$126,$A26))</f>
        <v/>
      </c>
    </row>
  </sheetData>
  <mergeCells count="1">
    <mergeCell ref="B12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2026-10-13T14:29:15Z</dcterms:created>
  <dcterms:modified xmlns:dcterms="http://purl.org/dc/terms/" xmlns:xsi="http://www.w3.org/2001/XMLSchema-instance" xsi:type="dcterms:W3CDTF">2026-10-13T14:46:55Z</dcterms:modified>
</cp:coreProperties>
</file>